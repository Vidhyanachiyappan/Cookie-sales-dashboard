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office.accenture.com/personal/vidhya_nachiyappan_accenture_com/Documents/Desktop/"/>
    </mc:Choice>
  </mc:AlternateContent>
  <xr:revisionPtr revIDLastSave="4" documentId="8_{373CD429-AABA-4F04-BB6D-6E7578B9AB2F}" xr6:coauthVersionLast="47" xr6:coauthVersionMax="47" xr10:uidLastSave="{AB2E6BD1-49F1-46A3-A28C-6B0F2CD19F5F}"/>
  <bookViews>
    <workbookView xWindow="-110" yWindow="-110" windowWidth="19420" windowHeight="11500" activeTab="1" xr2:uid="{94CB9BC4-9A30-433E-B366-DD861C4EEEC5}"/>
  </bookViews>
  <sheets>
    <sheet name=" COOKIES " sheetId="13" r:id="rId1"/>
    <sheet name="Executive Dashboard" sheetId="22" r:id="rId2"/>
  </sheets>
  <definedNames>
    <definedName name="ExternalData_1" localSheetId="0" hidden="1">' COOKIES '!$A$1:$J$846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5" i="22" l="1"/>
  <c r="G15" i="22"/>
  <c r="H14" i="22"/>
  <c r="H13" i="22"/>
  <c r="H12" i="22"/>
  <c r="H11" i="22"/>
  <c r="H10" i="22"/>
  <c r="G14" i="22"/>
  <c r="G13" i="22"/>
  <c r="G12" i="22"/>
  <c r="G11" i="22"/>
  <c r="G10" i="22"/>
  <c r="F14" i="22"/>
  <c r="F13" i="22"/>
  <c r="F12" i="22"/>
  <c r="F11" i="22"/>
  <c r="F10" i="22"/>
  <c r="D15" i="22"/>
  <c r="C15" i="22"/>
  <c r="D14" i="22"/>
  <c r="D13" i="22"/>
  <c r="D12" i="22"/>
  <c r="D11" i="22"/>
  <c r="D10" i="22"/>
  <c r="C14" i="22"/>
  <c r="C13" i="22"/>
  <c r="C12" i="22"/>
  <c r="C11" i="22"/>
  <c r="C10" i="22"/>
  <c r="B10" i="22" a="1"/>
  <c r="B10" i="22" s="1"/>
  <c r="G6" i="22"/>
  <c r="F6" i="22"/>
  <c r="D6" i="22"/>
  <c r="C6" i="22"/>
  <c r="B6" i="22"/>
  <c r="G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0AF642-CCC8-4BE2-857F-1832B007FBEF}" keepAlive="1" name="Query - Order Data" description="Connection to the 'Order Data' query in the workbook." type="5" refreshedVersion="8" background="1" saveData="1">
    <dbPr connection="Provider=Microsoft.Mashup.OleDb.1;Data Source=$Workbook$;Location=&quot;Order Data&quot;;Extended Properties=&quot;&quot;" command="SELECT * FROM [Order 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<sst xmlns="http://schemas.openxmlformats.org/spreadsheetml/2006/main" count="881" uniqueCount="34">
  <si>
    <t>Profit</t>
  </si>
  <si>
    <t>Order ID</t>
  </si>
  <si>
    <t>Customer ID</t>
  </si>
  <si>
    <t>Customer name</t>
  </si>
  <si>
    <t>Cookies Shipped</t>
  </si>
  <si>
    <t>Revenue</t>
  </si>
  <si>
    <t>Cost</t>
  </si>
  <si>
    <t>profit</t>
  </si>
  <si>
    <t>Order Date</t>
  </si>
  <si>
    <t>Ship Date</t>
  </si>
  <si>
    <t>days to ship</t>
  </si>
  <si>
    <t>YT Restaurants</t>
  </si>
  <si>
    <t>Acme Grocery Stores</t>
  </si>
  <si>
    <t>Quick Bite Convenience Stores</t>
  </si>
  <si>
    <t>Park &amp; Eat LLC</t>
  </si>
  <si>
    <t>Cascade Grovers</t>
  </si>
  <si>
    <t>Total Revenue</t>
  </si>
  <si>
    <t>KEY PERFORMANCE INDICATORS</t>
  </si>
  <si>
    <t>Total Profit</t>
  </si>
  <si>
    <t>Total Orders</t>
  </si>
  <si>
    <t>REVENUE BY CUSTOMER</t>
  </si>
  <si>
    <t>Customer</t>
  </si>
  <si>
    <t>TOTAL</t>
  </si>
  <si>
    <t>PROFIT BY CUSTOMER</t>
  </si>
  <si>
    <t>Margin</t>
  </si>
  <si>
    <t>KEY INSIGHTS</t>
  </si>
  <si>
    <t>💰 Most Profitable:</t>
  </si>
  <si>
    <t>VISUAL ANALYTICS</t>
  </si>
  <si>
    <t>% Share</t>
  </si>
  <si>
    <t>🏆 Top Revenue:</t>
  </si>
  <si>
    <t>📦 Avg Days to Ship:</t>
  </si>
  <si>
    <t>📊 Avg Order Value:</t>
  </si>
  <si>
    <t>Data Source: ' COOKIES ' sheet | Dashboard auto-updates when source data changes</t>
  </si>
  <si>
    <t xml:space="preserve">   EXECUTIVE DASHBOARD - Cookie Sales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</si>
</sst>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&quot;$&quot;#,##0"/>
    <numFmt numFmtId="167" formatCode="0.0%"/>
    <numFmt numFmtId="168" formatCode="0.0"/>
  </numFmts>
  <fonts count="11" x14ac:knownFonts="1">
    <font>
      <sz val="11"/>
      <color theme="1"/>
      <name val="Century Gothic"/>
      <family val="2"/>
      <scheme val="minor"/>
    </font>
    <font>
      <b/>
      <sz val="11"/>
      <color rgb="FF1F4E79"/>
      <name val="Century Gothic"/>
      <family val="2"/>
      <scheme val="minor"/>
    </font>
    <font>
      <b/>
      <sz val="18"/>
      <color rgb="FFFFFFFF"/>
      <name val="Century Gothic"/>
      <family val="2"/>
      <scheme val="minor"/>
    </font>
    <font>
      <b/>
      <sz val="10"/>
      <color rgb="FF1F4E79"/>
      <name val="Century Gothic"/>
      <family val="2"/>
      <scheme val="minor"/>
    </font>
    <font>
      <sz val="9"/>
      <color theme="1"/>
      <name val="Century Gothic"/>
      <family val="2"/>
      <scheme val="minor"/>
    </font>
    <font>
      <b/>
      <sz val="9"/>
      <color theme="1"/>
      <name val="Century Gothic"/>
      <family val="2"/>
      <scheme val="minor"/>
    </font>
    <font>
      <b/>
      <sz val="9"/>
      <color rgb="FF555555"/>
      <name val="Century Gothic"/>
      <family val="2"/>
      <scheme val="minor"/>
    </font>
    <font>
      <b/>
      <sz val="16"/>
      <color rgb="FF1F4E79"/>
      <name val="Century Gothic"/>
      <family val="2"/>
      <scheme val="minor"/>
    </font>
    <font>
      <b/>
      <sz val="10"/>
      <color rgb="FFFFFFFF"/>
      <name val="Century Gothic"/>
      <family val="2"/>
      <scheme val="minor"/>
    </font>
    <font>
      <b/>
      <sz val="16"/>
      <color rgb="FFFFFFFF"/>
      <name val="Century Gothic"/>
      <family val="2"/>
      <scheme val="minor"/>
    </font>
    <font>
      <i/>
      <sz val="9"/>
      <color rgb="FF666666"/>
      <name val="Century Gothic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8F4FD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auto="1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2E75B6"/>
      </top>
      <bottom/>
      <diagonal/>
    </border>
    <border>
      <left/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/>
      <diagonal/>
    </border>
    <border>
      <left style="thin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/>
      <diagonal/>
    </border>
    <border>
      <left style="thin">
        <color rgb="FF2E75B6"/>
      </left>
      <right style="thin">
        <color rgb="FF2E75B6"/>
      </right>
      <top/>
      <bottom style="thin">
        <color rgb="FF2E75B6"/>
      </bottom>
      <diagonal/>
    </border>
    <border>
      <left style="thin">
        <color auto="1"/>
      </left>
      <right/>
      <top style="thin">
        <color auto="1"/>
      </top>
      <bottom style="thin">
        <color rgb="FFE0E0E0"/>
      </bottom>
      <diagonal/>
    </border>
    <border>
      <left/>
      <right/>
      <top style="thin">
        <color auto="1"/>
      </top>
      <bottom style="thin">
        <color rgb="FFE0E0E0"/>
      </bottom>
      <diagonal/>
    </border>
    <border>
      <left/>
      <right style="thin">
        <color auto="1"/>
      </right>
      <top style="thin">
        <color auto="1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 style="thin">
        <color auto="1"/>
      </left>
      <right/>
      <top style="thin">
        <color rgb="FFE0E0E0"/>
      </top>
      <bottom style="thin">
        <color auto="1"/>
      </bottom>
      <diagonal/>
    </border>
    <border>
      <left/>
      <right/>
      <top style="thin">
        <color rgb="FFE0E0E0"/>
      </top>
      <bottom style="thin">
        <color auto="1"/>
      </bottom>
      <diagonal/>
    </border>
    <border>
      <left/>
      <right style="thin">
        <color auto="1"/>
      </right>
      <top style="thin">
        <color rgb="FFE0E0E0"/>
      </top>
      <bottom style="thin">
        <color auto="1"/>
      </bottom>
      <diagonal/>
    </border>
    <border>
      <left/>
      <right style="thin">
        <color rgb="FF2E75B6"/>
      </right>
      <top style="thin">
        <color rgb="FF2E75B6"/>
      </top>
      <bottom/>
      <diagonal/>
    </border>
    <border>
      <left/>
      <right style="thin">
        <color rgb="FF2E75B6"/>
      </right>
      <top/>
      <bottom style="thin">
        <color rgb="FF2E75B6"/>
      </bottom>
      <diagonal/>
    </border>
    <border>
      <left/>
      <right style="thin">
        <color auto="1"/>
      </right>
      <top style="thin">
        <color theme="5" tint="-0.249977111117893"/>
      </top>
      <bottom/>
      <diagonal/>
    </border>
    <border>
      <left style="thin">
        <color theme="5" tint="-0.249977111117893"/>
      </left>
      <right/>
      <top/>
      <bottom/>
      <diagonal/>
    </border>
    <border>
      <left/>
      <right/>
      <top/>
      <bottom style="thin">
        <color theme="5" tint="-0.249977111117893"/>
      </bottom>
      <diagonal/>
    </border>
  </borders>
  <cellStyleXfs count="1">
    <xf numFmtId="0" fontId="0" fillId="0" borderId="0"/>
  </cellStyleXfs>
  <cellXfs count="40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5" borderId="0" xfId="0" applyFill="1"/>
    <xf numFmtId="0" fontId="0" fillId="7" borderId="0" xfId="0" applyFill="1"/>
    <xf numFmtId="0" fontId="6" fillId="7" borderId="5" xfId="0" applyFont="1" applyFill="1" applyBorder="1" applyAlignment="1">
      <alignment horizontal="center" vertical="center"/>
    </xf>
    <xf numFmtId="166" fontId="7" fillId="7" borderId="6" xfId="0" applyNumberFormat="1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167" fontId="7" fillId="7" borderId="8" xfId="0" applyNumberFormat="1" applyFont="1" applyFill="1" applyBorder="1" applyAlignment="1">
      <alignment horizontal="center" vertical="center"/>
    </xf>
    <xf numFmtId="3" fontId="7" fillId="7" borderId="6" xfId="0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6" fontId="4" fillId="4" borderId="12" xfId="0" applyNumberFormat="1" applyFont="1" applyFill="1" applyBorder="1" applyAlignment="1">
      <alignment horizontal="right" vertical="center"/>
    </xf>
    <xf numFmtId="167" fontId="4" fillId="4" borderId="2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6" fontId="4" fillId="5" borderId="12" xfId="0" applyNumberFormat="1" applyFont="1" applyFill="1" applyBorder="1" applyAlignment="1">
      <alignment horizontal="right" vertical="center"/>
    </xf>
    <xf numFmtId="167" fontId="4" fillId="5" borderId="2" xfId="0" applyNumberFormat="1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vertical="center"/>
    </xf>
    <xf numFmtId="166" fontId="5" fillId="6" borderId="14" xfId="0" applyNumberFormat="1" applyFont="1" applyFill="1" applyBorder="1" applyAlignment="1">
      <alignment vertical="center"/>
    </xf>
    <xf numFmtId="167" fontId="5" fillId="6" borderId="15" xfId="0" applyNumberFormat="1" applyFont="1" applyFill="1" applyBorder="1" applyAlignment="1">
      <alignment vertical="center"/>
    </xf>
    <xf numFmtId="0" fontId="3" fillId="5" borderId="0" xfId="0" applyFont="1" applyFill="1"/>
    <xf numFmtId="0" fontId="10" fillId="0" borderId="0" xfId="0" applyFont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16" xfId="0" applyFill="1" applyBorder="1"/>
    <xf numFmtId="0" fontId="0" fillId="7" borderId="17" xfId="0" applyFill="1" applyBorder="1"/>
    <xf numFmtId="166" fontId="0" fillId="7" borderId="3" xfId="0" applyNumberFormat="1" applyFill="1" applyBorder="1"/>
    <xf numFmtId="166" fontId="0" fillId="7" borderId="4" xfId="0" applyNumberFormat="1" applyFill="1" applyBorder="1"/>
    <xf numFmtId="168" fontId="0" fillId="7" borderId="3" xfId="0" applyNumberFormat="1" applyFill="1" applyBorder="1"/>
    <xf numFmtId="0" fontId="0" fillId="7" borderId="18" xfId="0" applyFill="1" applyBorder="1"/>
    <xf numFmtId="0" fontId="0" fillId="7" borderId="20" xfId="0" applyFill="1" applyBorder="1"/>
    <xf numFmtId="0" fontId="0" fillId="5" borderId="19" xfId="0" applyFill="1" applyBorder="1"/>
    <xf numFmtId="0" fontId="9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Dashboard'!$B$10:$B$14</c:f>
              <c:strCache>
                <c:ptCount val="5"/>
                <c:pt idx="0">
                  <c:v>Acme Grocery Stores</c:v>
                </c:pt>
                <c:pt idx="1">
                  <c:v>Cascade Grovers</c:v>
                </c:pt>
                <c:pt idx="2">
                  <c:v>Park &amp; Eat LLC</c:v>
                </c:pt>
                <c:pt idx="3">
                  <c:v>Quick Bite Convenience Stores</c:v>
                </c:pt>
                <c:pt idx="4">
                  <c:v>YT Restaurants</c:v>
                </c:pt>
              </c:strCache>
            </c:strRef>
          </c:cat>
          <c:val>
            <c:numRef>
              <c:f>'Executive Dashboard'!$C$10:$C$14</c:f>
              <c:numCache>
                <c:formatCode>"$"#,##0</c:formatCode>
                <c:ptCount val="5"/>
                <c:pt idx="0">
                  <c:v>157505</c:v>
                </c:pt>
                <c:pt idx="1">
                  <c:v>649740</c:v>
                </c:pt>
                <c:pt idx="2">
                  <c:v>395290</c:v>
                </c:pt>
                <c:pt idx="3">
                  <c:v>557170</c:v>
                </c:pt>
                <c:pt idx="4">
                  <c:v>473320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3-4595-A6A8-8BEADABA2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44639"/>
        <c:axId val="18645119"/>
      </c:barChart>
      <c:catAx>
        <c:axId val="1864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119"/>
        <c:crosses val="autoZero"/>
        <c:auto val="1"/>
        <c:lblAlgn val="ctr"/>
        <c:lblOffset val="100"/>
        <c:noMultiLvlLbl val="0"/>
      </c:catAx>
      <c:valAx>
        <c:axId val="1864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Dashboard'!$F$10:$F$14</c:f>
              <c:strCache>
                <c:ptCount val="5"/>
                <c:pt idx="0">
                  <c:v>Acme Grocery Stores</c:v>
                </c:pt>
                <c:pt idx="1">
                  <c:v>Cascade Grovers</c:v>
                </c:pt>
                <c:pt idx="2">
                  <c:v>Park &amp; Eat LLC</c:v>
                </c:pt>
                <c:pt idx="3">
                  <c:v>Quick Bite Convenience Stores</c:v>
                </c:pt>
                <c:pt idx="4">
                  <c:v>YT Restaurants</c:v>
                </c:pt>
              </c:strCache>
            </c:strRef>
          </c:cat>
          <c:val>
            <c:numRef>
              <c:f>'Executive Dashboard'!$G$10:$G$14</c:f>
              <c:numCache>
                <c:formatCode>"$"#,##0</c:formatCode>
                <c:ptCount val="5"/>
                <c:pt idx="0">
                  <c:v>78752.5</c:v>
                </c:pt>
                <c:pt idx="1">
                  <c:v>324870</c:v>
                </c:pt>
                <c:pt idx="2">
                  <c:v>197645</c:v>
                </c:pt>
                <c:pt idx="3">
                  <c:v>278585</c:v>
                </c:pt>
                <c:pt idx="4">
                  <c:v>236660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B-4D75-9E55-938902518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58559"/>
        <c:axId val="18642239"/>
      </c:barChart>
      <c:catAx>
        <c:axId val="18658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2239"/>
        <c:crosses val="autoZero"/>
        <c:auto val="1"/>
        <c:lblAlgn val="ctr"/>
        <c:lblOffset val="100"/>
        <c:noMultiLvlLbl val="0"/>
      </c:catAx>
      <c:valAx>
        <c:axId val="18642239"/>
        <c:scaling>
          <c:orientation val="minMax"/>
          <c:max val="3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97-47D5-97DB-6E8C264CBC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97-47D5-97DB-6E8C264CBC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97-47D5-97DB-6E8C264CBC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97-47D5-97DB-6E8C264CBC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997-47D5-97DB-6E8C264CBC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'Executive Dashboard'!$B$10:$B$14</c:f>
              <c:strCache>
                <c:ptCount val="5"/>
                <c:pt idx="0">
                  <c:v>Acme Grocery Stores</c:v>
                </c:pt>
                <c:pt idx="1">
                  <c:v>Cascade Grovers</c:v>
                </c:pt>
                <c:pt idx="2">
                  <c:v>Park &amp; Eat LLC</c:v>
                </c:pt>
                <c:pt idx="3">
                  <c:v>Quick Bite Convenience Stores</c:v>
                </c:pt>
                <c:pt idx="4">
                  <c:v>YT Restaurants</c:v>
                </c:pt>
              </c:strCache>
            </c:strRef>
          </c:cat>
          <c:val>
            <c:numRef>
              <c:f>'Executive Dashboard'!$C$10:$C$14</c:f>
              <c:numCache>
                <c:formatCode>"$"#,##0</c:formatCode>
                <c:ptCount val="5"/>
                <c:pt idx="0">
                  <c:v>157505</c:v>
                </c:pt>
                <c:pt idx="1">
                  <c:v>649740</c:v>
                </c:pt>
                <c:pt idx="2">
                  <c:v>395290</c:v>
                </c:pt>
                <c:pt idx="3">
                  <c:v>557170</c:v>
                </c:pt>
                <c:pt idx="4">
                  <c:v>473320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2-4BA3-B86D-6A7C83633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17</xdr:row>
      <xdr:rowOff>76200</xdr:rowOff>
    </xdr:from>
    <xdr:to>
      <xdr:col>2</xdr:col>
      <xdr:colOff>635000</xdr:colOff>
      <xdr:row>23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1A9106-EAA1-44AF-28EA-C5254BA4C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1492250</xdr:colOff>
      <xdr:row>17</xdr:row>
      <xdr:rowOff>88900</xdr:rowOff>
    </xdr:from>
    <xdr:to>
      <xdr:col>8</xdr:col>
      <xdr:colOff>25400</xdr:colOff>
      <xdr:row>24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FD94E2-CCB6-43A9-EAD3-B201D8DC5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673100</xdr:colOff>
      <xdr:row>17</xdr:row>
      <xdr:rowOff>82550</xdr:rowOff>
    </xdr:from>
    <xdr:to>
      <xdr:col>5</xdr:col>
      <xdr:colOff>1447800</xdr:colOff>
      <xdr:row>24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8441FC-511C-159F-4180-17CECCFE0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E037F4-5B9B-48A6-9F3A-0DAD1412B2BE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Customer ID" tableColumnId="2"/>
      <queryTableField id="3" name="Customer name" tableColumnId="3"/>
      <queryTableField id="4" name="Cookies Shipped" tableColumnId="4"/>
      <queryTableField id="5" name="Revenue" tableColumnId="5"/>
      <queryTableField id="6" name="Cost" tableColumnId="6"/>
      <queryTableField id="7" name="profit" tableColumnId="7"/>
      <queryTableField id="8" name="Order Date" tableColumnId="8"/>
      <queryTableField id="9" name="Ship Date" tableColumnId="9"/>
      <queryTableField id="10" name="days to ship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000389-F3BD-4263-BC5B-3D1E91B7DAE8}" name="Order_Data" displayName="Order_Data" ref="A1:J846" tableType="queryTable" totalsRowShown="0">
  <autoFilter ref="A1:J846" xr:uid="{B0000389-F3BD-4263-BC5B-3D1E91B7DAE8}"/>
  <tableColumns count="10">
    <tableColumn id="1" xr3:uid="{8968576D-E9EA-4D63-9EA3-8524A00F309A}" uniqueName="1" name="Order ID" queryTableFieldId="1"/>
    <tableColumn id="2" xr3:uid="{82DD2820-C442-45F1-B698-11D362C2B897}" uniqueName="2" name="Customer ID" queryTableFieldId="2"/>
    <tableColumn id="3" xr3:uid="{A313DC86-F644-40EE-AA50-46BC8DE6E5E3}" uniqueName="3" name="Customer name" queryTableFieldId="3" dataDxfId="2"/>
    <tableColumn id="4" xr3:uid="{F3FE6231-849B-47D2-ACE2-9BFB9403D187}" uniqueName="4" name="Cookies Shipped" queryTableFieldId="4"/>
    <tableColumn id="5" xr3:uid="{BAD73108-3CD5-409D-BF05-3EC994BEFADA}" uniqueName="5" name="Revenue" queryTableFieldId="5"/>
    <tableColumn id="6" xr3:uid="{67600BF5-5FDA-48CA-9D25-52E18AFE3BAC}" uniqueName="6" name="Cost" queryTableFieldId="6"/>
    <tableColumn id="7" xr3:uid="{DF236936-C05A-45E0-A9EA-36F8F303D596}" uniqueName="7" name="profit" queryTableFieldId="7"/>
    <tableColumn id="8" xr3:uid="{3E13725E-8713-4C54-A913-E3FCDA3A50F4}" uniqueName="8" name="Order Date" queryTableFieldId="8" dataDxfId="1"/>
    <tableColumn id="9" xr3:uid="{2F65A521-68C7-4D01-B942-B4A51D3D2281}" uniqueName="9" name="Ship Date" queryTableFieldId="9" dataDxfId="0"/>
    <tableColumn id="10" xr3:uid="{69BF9E5C-9777-45B4-809C-239BCA23CA93}" uniqueName="10" name="days to ship" queryTableFieldId="10"/>
  </tableColumns>
  <tableStyleInfo name="TableStyleMedium7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18F0-B03A-4ED6-B9CB-31BC78B9733A}">
  <sheetPr codeName="Sheet12"/>
  <dimension ref="A1:J846"/>
  <sheetViews>
    <sheetView workbookViewId="0">
      <selection activeCell="G2" sqref="G2:G846"/>
    </sheetView>
  </sheetViews>
  <sheetFormatPr defaultRowHeight="13.5" x14ac:dyDescent="0.25"/>
  <cols>
    <col min="1" max="1" width="9.83203125" customWidth="1"/>
    <col min="2" max="2" width="13.4140625" customWidth="1"/>
    <col min="3" max="3" width="25.83203125" customWidth="1"/>
    <col min="4" max="4" width="17.25" customWidth="1"/>
    <col min="5" max="5" width="10.33203125" customWidth="1"/>
    <col min="6" max="6" width="6.83203125" customWidth="1"/>
    <col min="7" max="7" width="7.58203125" customWidth="1"/>
    <col min="8" max="8" width="11.9140625" customWidth="1"/>
    <col min="9" max="9" width="11.1640625" customWidth="1"/>
    <col min="10" max="10" width="12.9140625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>
        <v>474264</v>
      </c>
      <c r="B2">
        <v>152689</v>
      </c>
      <c r="C2" t="s">
        <v>11</v>
      </c>
      <c r="D2">
        <v>466</v>
      </c>
      <c r="E2">
        <v>2330</v>
      </c>
      <c r="F2">
        <v>1165</v>
      </c>
      <c r="G2">
        <f>Order_Data[[#This Row],[Revenue]]-Order_Data[[#This Row],[Cost]]</f>
        <v>1165</v>
      </c>
      <c r="H2" s="1">
        <v>43464</v>
      </c>
      <c r="I2" s="1">
        <v>43470</v>
      </c>
      <c r="J2">
        <v>6</v>
      </c>
    </row>
    <row r="3" spans="1:10" x14ac:dyDescent="0.25">
      <c r="A3">
        <v>478235</v>
      </c>
      <c r="B3">
        <v>152689</v>
      </c>
      <c r="C3" t="s">
        <v>11</v>
      </c>
      <c r="D3">
        <v>524</v>
      </c>
      <c r="E3">
        <v>2620</v>
      </c>
      <c r="F3">
        <v>1310</v>
      </c>
      <c r="G3">
        <v>1310</v>
      </c>
      <c r="H3" s="1">
        <v>43463</v>
      </c>
      <c r="I3" s="1">
        <v>43468</v>
      </c>
      <c r="J3">
        <v>5</v>
      </c>
    </row>
    <row r="4" spans="1:10" x14ac:dyDescent="0.25">
      <c r="A4">
        <v>641929</v>
      </c>
      <c r="B4">
        <v>452584</v>
      </c>
      <c r="C4" t="s">
        <v>12</v>
      </c>
      <c r="D4">
        <v>710</v>
      </c>
      <c r="E4">
        <v>3550</v>
      </c>
      <c r="F4">
        <v>1775</v>
      </c>
      <c r="G4">
        <v>1775</v>
      </c>
      <c r="H4" s="1">
        <v>43465</v>
      </c>
      <c r="I4" s="1">
        <v>43467</v>
      </c>
      <c r="J4">
        <v>2</v>
      </c>
    </row>
    <row r="5" spans="1:10" x14ac:dyDescent="0.25">
      <c r="A5">
        <v>684340</v>
      </c>
      <c r="B5">
        <v>985245</v>
      </c>
      <c r="C5" t="s">
        <v>13</v>
      </c>
      <c r="D5">
        <v>868</v>
      </c>
      <c r="E5">
        <v>4340</v>
      </c>
      <c r="F5">
        <v>2170</v>
      </c>
      <c r="G5">
        <v>2170</v>
      </c>
      <c r="H5" s="1">
        <v>43464</v>
      </c>
      <c r="I5" s="1">
        <v>43467</v>
      </c>
      <c r="J5">
        <v>3</v>
      </c>
    </row>
    <row r="6" spans="1:10" x14ac:dyDescent="0.25">
      <c r="A6">
        <v>278043</v>
      </c>
      <c r="B6">
        <v>785432</v>
      </c>
      <c r="C6" t="s">
        <v>14</v>
      </c>
      <c r="D6">
        <v>497</v>
      </c>
      <c r="E6">
        <v>2485</v>
      </c>
      <c r="F6">
        <v>1242.5</v>
      </c>
      <c r="G6">
        <v>1242.5</v>
      </c>
      <c r="H6" s="1">
        <v>43463</v>
      </c>
      <c r="I6" s="1">
        <v>43467</v>
      </c>
      <c r="J6">
        <v>4</v>
      </c>
    </row>
    <row r="7" spans="1:10" x14ac:dyDescent="0.25">
      <c r="A7">
        <v>786770</v>
      </c>
      <c r="B7">
        <v>985245</v>
      </c>
      <c r="C7" t="s">
        <v>13</v>
      </c>
      <c r="D7">
        <v>343</v>
      </c>
      <c r="E7">
        <v>1715</v>
      </c>
      <c r="F7">
        <v>857.5</v>
      </c>
      <c r="G7">
        <v>857.5</v>
      </c>
      <c r="H7" s="1">
        <v>43462</v>
      </c>
      <c r="I7" s="1">
        <v>43466</v>
      </c>
      <c r="J7">
        <v>4</v>
      </c>
    </row>
    <row r="8" spans="1:10" x14ac:dyDescent="0.25">
      <c r="A8">
        <v>589574</v>
      </c>
      <c r="B8">
        <v>985245</v>
      </c>
      <c r="C8" t="s">
        <v>13</v>
      </c>
      <c r="D8">
        <v>369</v>
      </c>
      <c r="E8">
        <v>1845</v>
      </c>
      <c r="F8">
        <v>922.5</v>
      </c>
      <c r="G8">
        <v>922.5</v>
      </c>
      <c r="H8" s="1">
        <v>43462</v>
      </c>
      <c r="I8" s="1">
        <v>43466</v>
      </c>
      <c r="J8">
        <v>4</v>
      </c>
    </row>
    <row r="9" spans="1:10" x14ac:dyDescent="0.25">
      <c r="A9">
        <v>487021</v>
      </c>
      <c r="B9">
        <v>785432</v>
      </c>
      <c r="C9" t="s">
        <v>14</v>
      </c>
      <c r="D9">
        <v>895</v>
      </c>
      <c r="E9">
        <v>4475</v>
      </c>
      <c r="F9">
        <v>2237.5</v>
      </c>
      <c r="G9">
        <v>2237.5</v>
      </c>
      <c r="H9" s="1">
        <v>43462</v>
      </c>
      <c r="I9" s="1">
        <v>43466</v>
      </c>
      <c r="J9">
        <v>4</v>
      </c>
    </row>
    <row r="10" spans="1:10" x14ac:dyDescent="0.25">
      <c r="A10">
        <v>397607</v>
      </c>
      <c r="B10">
        <v>985245</v>
      </c>
      <c r="C10" t="s">
        <v>13</v>
      </c>
      <c r="D10">
        <v>642</v>
      </c>
      <c r="E10">
        <v>3210</v>
      </c>
      <c r="F10">
        <v>1605</v>
      </c>
      <c r="G10">
        <v>1605</v>
      </c>
      <c r="H10" s="1">
        <v>43462</v>
      </c>
      <c r="I10" s="1">
        <v>43465</v>
      </c>
      <c r="J10">
        <v>3</v>
      </c>
    </row>
    <row r="11" spans="1:10" x14ac:dyDescent="0.25">
      <c r="A11">
        <v>219369</v>
      </c>
      <c r="B11">
        <v>985245</v>
      </c>
      <c r="C11" t="s">
        <v>13</v>
      </c>
      <c r="D11">
        <v>83</v>
      </c>
      <c r="E11">
        <v>415</v>
      </c>
      <c r="F11">
        <v>207.5</v>
      </c>
      <c r="G11">
        <v>207.5</v>
      </c>
      <c r="H11" s="1">
        <v>43461</v>
      </c>
      <c r="I11" s="1">
        <v>43465</v>
      </c>
      <c r="J11">
        <v>4</v>
      </c>
    </row>
    <row r="12" spans="1:10" x14ac:dyDescent="0.25">
      <c r="A12">
        <v>602410</v>
      </c>
      <c r="B12">
        <v>325698</v>
      </c>
      <c r="C12" t="s">
        <v>15</v>
      </c>
      <c r="D12">
        <v>65</v>
      </c>
      <c r="E12">
        <v>325</v>
      </c>
      <c r="F12">
        <v>162.5</v>
      </c>
      <c r="G12">
        <v>162.5</v>
      </c>
      <c r="H12" s="1">
        <v>43462</v>
      </c>
      <c r="I12" s="1">
        <v>43464</v>
      </c>
      <c r="J12">
        <v>2</v>
      </c>
    </row>
    <row r="13" spans="1:10" x14ac:dyDescent="0.25">
      <c r="A13">
        <v>422605</v>
      </c>
      <c r="B13">
        <v>325698</v>
      </c>
      <c r="C13" t="s">
        <v>15</v>
      </c>
      <c r="D13">
        <v>874</v>
      </c>
      <c r="E13">
        <v>4370</v>
      </c>
      <c r="F13">
        <v>2185</v>
      </c>
      <c r="G13">
        <v>2185</v>
      </c>
      <c r="H13" s="1">
        <v>43461</v>
      </c>
      <c r="I13" s="1">
        <v>43464</v>
      </c>
      <c r="J13">
        <v>3</v>
      </c>
    </row>
    <row r="14" spans="1:10" x14ac:dyDescent="0.25">
      <c r="A14">
        <v>715284</v>
      </c>
      <c r="B14">
        <v>152689</v>
      </c>
      <c r="C14" t="s">
        <v>11</v>
      </c>
      <c r="D14">
        <v>889</v>
      </c>
      <c r="E14">
        <v>4445</v>
      </c>
      <c r="F14">
        <v>2222.5</v>
      </c>
      <c r="G14">
        <v>2222.5</v>
      </c>
      <c r="H14" s="1">
        <v>43459</v>
      </c>
      <c r="I14" s="1">
        <v>43464</v>
      </c>
      <c r="J14">
        <v>5</v>
      </c>
    </row>
    <row r="15" spans="1:10" x14ac:dyDescent="0.25">
      <c r="A15">
        <v>871564</v>
      </c>
      <c r="B15">
        <v>452584</v>
      </c>
      <c r="C15" t="s">
        <v>12</v>
      </c>
      <c r="D15">
        <v>551</v>
      </c>
      <c r="E15">
        <v>2755</v>
      </c>
      <c r="F15">
        <v>1377.5</v>
      </c>
      <c r="G15">
        <v>1377.5</v>
      </c>
      <c r="H15" s="1">
        <v>43461</v>
      </c>
      <c r="I15" s="1">
        <v>43463</v>
      </c>
      <c r="J15">
        <v>2</v>
      </c>
    </row>
    <row r="16" spans="1:10" x14ac:dyDescent="0.25">
      <c r="A16">
        <v>872190</v>
      </c>
      <c r="B16">
        <v>985245</v>
      </c>
      <c r="C16" t="s">
        <v>13</v>
      </c>
      <c r="D16">
        <v>213</v>
      </c>
      <c r="E16">
        <v>1065</v>
      </c>
      <c r="F16">
        <v>532.5</v>
      </c>
      <c r="G16">
        <v>532.5</v>
      </c>
      <c r="H16" s="1">
        <v>43459</v>
      </c>
      <c r="I16" s="1">
        <v>43463</v>
      </c>
      <c r="J16">
        <v>4</v>
      </c>
    </row>
    <row r="17" spans="1:10" x14ac:dyDescent="0.25">
      <c r="A17">
        <v>573690</v>
      </c>
      <c r="B17">
        <v>985245</v>
      </c>
      <c r="C17" t="s">
        <v>13</v>
      </c>
      <c r="D17">
        <v>760</v>
      </c>
      <c r="E17">
        <v>3800</v>
      </c>
      <c r="F17">
        <v>1900</v>
      </c>
      <c r="G17">
        <v>1900</v>
      </c>
      <c r="H17" s="1">
        <v>43459</v>
      </c>
      <c r="I17" s="1">
        <v>43463</v>
      </c>
      <c r="J17">
        <v>4</v>
      </c>
    </row>
    <row r="18" spans="1:10" x14ac:dyDescent="0.25">
      <c r="A18">
        <v>156934</v>
      </c>
      <c r="B18">
        <v>452584</v>
      </c>
      <c r="C18" t="s">
        <v>12</v>
      </c>
      <c r="D18">
        <v>602</v>
      </c>
      <c r="E18">
        <v>3010</v>
      </c>
      <c r="F18">
        <v>1505</v>
      </c>
      <c r="G18">
        <v>1505</v>
      </c>
      <c r="H18" s="1">
        <v>43460</v>
      </c>
      <c r="I18" s="1">
        <v>43462</v>
      </c>
      <c r="J18">
        <v>2</v>
      </c>
    </row>
    <row r="19" spans="1:10" x14ac:dyDescent="0.25">
      <c r="A19">
        <v>374723</v>
      </c>
      <c r="B19">
        <v>325698</v>
      </c>
      <c r="C19" t="s">
        <v>15</v>
      </c>
      <c r="D19">
        <v>224</v>
      </c>
      <c r="E19">
        <v>1120</v>
      </c>
      <c r="F19">
        <v>560</v>
      </c>
      <c r="G19">
        <v>560</v>
      </c>
      <c r="H19" s="1">
        <v>43459</v>
      </c>
      <c r="I19" s="1">
        <v>43461</v>
      </c>
      <c r="J19">
        <v>2</v>
      </c>
    </row>
    <row r="20" spans="1:10" x14ac:dyDescent="0.25">
      <c r="A20">
        <v>627519</v>
      </c>
      <c r="B20">
        <v>152689</v>
      </c>
      <c r="C20" t="s">
        <v>11</v>
      </c>
      <c r="D20">
        <v>764</v>
      </c>
      <c r="E20">
        <v>3820</v>
      </c>
      <c r="F20">
        <v>1910</v>
      </c>
      <c r="G20">
        <v>1910</v>
      </c>
      <c r="H20" s="1">
        <v>43456</v>
      </c>
      <c r="I20" s="1">
        <v>43461</v>
      </c>
      <c r="J20">
        <v>5</v>
      </c>
    </row>
    <row r="21" spans="1:10" x14ac:dyDescent="0.25">
      <c r="A21">
        <v>298803</v>
      </c>
      <c r="B21">
        <v>152689</v>
      </c>
      <c r="C21" t="s">
        <v>11</v>
      </c>
      <c r="D21">
        <v>543</v>
      </c>
      <c r="E21">
        <v>2715</v>
      </c>
      <c r="F21">
        <v>1357.5</v>
      </c>
      <c r="G21">
        <v>1357.5</v>
      </c>
      <c r="H21" s="1">
        <v>43456</v>
      </c>
      <c r="I21" s="1">
        <v>43461</v>
      </c>
      <c r="J21">
        <v>5</v>
      </c>
    </row>
    <row r="22" spans="1:10" x14ac:dyDescent="0.25">
      <c r="A22">
        <v>958705</v>
      </c>
      <c r="B22">
        <v>985245</v>
      </c>
      <c r="C22" t="s">
        <v>13</v>
      </c>
      <c r="D22">
        <v>562</v>
      </c>
      <c r="E22">
        <v>2810</v>
      </c>
      <c r="F22">
        <v>1405</v>
      </c>
      <c r="G22">
        <v>1405</v>
      </c>
      <c r="H22" s="1">
        <v>43456</v>
      </c>
      <c r="I22" s="1">
        <v>43460</v>
      </c>
      <c r="J22">
        <v>4</v>
      </c>
    </row>
    <row r="23" spans="1:10" x14ac:dyDescent="0.25">
      <c r="A23">
        <v>962598</v>
      </c>
      <c r="B23">
        <v>152689</v>
      </c>
      <c r="C23" t="s">
        <v>11</v>
      </c>
      <c r="D23">
        <v>850</v>
      </c>
      <c r="E23">
        <v>4250</v>
      </c>
      <c r="F23">
        <v>2125</v>
      </c>
      <c r="G23">
        <v>2125</v>
      </c>
      <c r="H23" s="1">
        <v>43454</v>
      </c>
      <c r="I23" s="1">
        <v>43459</v>
      </c>
      <c r="J23">
        <v>5</v>
      </c>
    </row>
    <row r="24" spans="1:10" x14ac:dyDescent="0.25">
      <c r="A24">
        <v>440125</v>
      </c>
      <c r="B24">
        <v>325698</v>
      </c>
      <c r="C24" t="s">
        <v>15</v>
      </c>
      <c r="D24">
        <v>56</v>
      </c>
      <c r="E24">
        <v>280</v>
      </c>
      <c r="F24">
        <v>140</v>
      </c>
      <c r="G24">
        <v>140</v>
      </c>
      <c r="H24" s="1">
        <v>43456</v>
      </c>
      <c r="I24" s="1">
        <v>43458</v>
      </c>
      <c r="J24">
        <v>2</v>
      </c>
    </row>
    <row r="25" spans="1:10" x14ac:dyDescent="0.25">
      <c r="A25">
        <v>172615</v>
      </c>
      <c r="B25">
        <v>985245</v>
      </c>
      <c r="C25" t="s">
        <v>13</v>
      </c>
      <c r="D25">
        <v>632</v>
      </c>
      <c r="E25">
        <v>3160</v>
      </c>
      <c r="F25">
        <v>1580</v>
      </c>
      <c r="G25">
        <v>1580</v>
      </c>
      <c r="H25" s="1">
        <v>43455</v>
      </c>
      <c r="I25" s="1">
        <v>43458</v>
      </c>
      <c r="J25">
        <v>3</v>
      </c>
    </row>
    <row r="26" spans="1:10" x14ac:dyDescent="0.25">
      <c r="A26">
        <v>493567</v>
      </c>
      <c r="B26">
        <v>785432</v>
      </c>
      <c r="C26" t="s">
        <v>14</v>
      </c>
      <c r="D26">
        <v>533</v>
      </c>
      <c r="E26">
        <v>2665</v>
      </c>
      <c r="F26">
        <v>1332.5</v>
      </c>
      <c r="G26">
        <v>1332.5</v>
      </c>
      <c r="H26" s="1">
        <v>43453</v>
      </c>
      <c r="I26" s="1">
        <v>43458</v>
      </c>
      <c r="J26">
        <v>5</v>
      </c>
    </row>
    <row r="27" spans="1:10" x14ac:dyDescent="0.25">
      <c r="A27">
        <v>380850</v>
      </c>
      <c r="B27">
        <v>152689</v>
      </c>
      <c r="C27" t="s">
        <v>11</v>
      </c>
      <c r="D27">
        <v>73</v>
      </c>
      <c r="E27">
        <v>365</v>
      </c>
      <c r="F27">
        <v>182.5</v>
      </c>
      <c r="G27">
        <v>182.5</v>
      </c>
      <c r="H27" s="1">
        <v>43453</v>
      </c>
      <c r="I27" s="1">
        <v>43458</v>
      </c>
      <c r="J27">
        <v>5</v>
      </c>
    </row>
    <row r="28" spans="1:10" x14ac:dyDescent="0.25">
      <c r="A28">
        <v>670356</v>
      </c>
      <c r="B28">
        <v>325698</v>
      </c>
      <c r="C28" t="s">
        <v>15</v>
      </c>
      <c r="D28">
        <v>932</v>
      </c>
      <c r="E28">
        <v>4660</v>
      </c>
      <c r="F28">
        <v>2330</v>
      </c>
      <c r="G28">
        <v>2330</v>
      </c>
      <c r="H28" s="1">
        <v>43455</v>
      </c>
      <c r="I28" s="1">
        <v>43457</v>
      </c>
      <c r="J28">
        <v>2</v>
      </c>
    </row>
    <row r="29" spans="1:10" x14ac:dyDescent="0.25">
      <c r="A29">
        <v>862692</v>
      </c>
      <c r="B29">
        <v>325698</v>
      </c>
      <c r="C29" t="s">
        <v>15</v>
      </c>
      <c r="D29">
        <v>989</v>
      </c>
      <c r="E29">
        <v>4945</v>
      </c>
      <c r="F29">
        <v>2472.5</v>
      </c>
      <c r="G29">
        <v>2472.5</v>
      </c>
      <c r="H29" s="1">
        <v>43455</v>
      </c>
      <c r="I29" s="1">
        <v>43457</v>
      </c>
      <c r="J29">
        <v>2</v>
      </c>
    </row>
    <row r="30" spans="1:10" x14ac:dyDescent="0.25">
      <c r="A30">
        <v>241649</v>
      </c>
      <c r="B30">
        <v>152689</v>
      </c>
      <c r="C30" t="s">
        <v>11</v>
      </c>
      <c r="D30">
        <v>687</v>
      </c>
      <c r="E30">
        <v>3435</v>
      </c>
      <c r="F30">
        <v>1717.5</v>
      </c>
      <c r="G30">
        <v>1717.5</v>
      </c>
      <c r="H30" s="1">
        <v>43452</v>
      </c>
      <c r="I30" s="1">
        <v>43457</v>
      </c>
      <c r="J30">
        <v>5</v>
      </c>
    </row>
    <row r="31" spans="1:10" x14ac:dyDescent="0.25">
      <c r="A31">
        <v>581611</v>
      </c>
      <c r="B31">
        <v>985245</v>
      </c>
      <c r="C31" t="s">
        <v>13</v>
      </c>
      <c r="D31">
        <v>197</v>
      </c>
      <c r="E31">
        <v>985</v>
      </c>
      <c r="F31">
        <v>492.5</v>
      </c>
      <c r="G31">
        <v>492.5</v>
      </c>
      <c r="H31" s="1">
        <v>43452</v>
      </c>
      <c r="I31" s="1">
        <v>43456</v>
      </c>
      <c r="J31">
        <v>4</v>
      </c>
    </row>
    <row r="32" spans="1:10" x14ac:dyDescent="0.25">
      <c r="A32">
        <v>331570</v>
      </c>
      <c r="B32">
        <v>985245</v>
      </c>
      <c r="C32" t="s">
        <v>13</v>
      </c>
      <c r="D32">
        <v>310</v>
      </c>
      <c r="E32">
        <v>1550</v>
      </c>
      <c r="F32">
        <v>775</v>
      </c>
      <c r="G32">
        <v>775</v>
      </c>
      <c r="H32" s="1">
        <v>43452</v>
      </c>
      <c r="I32" s="1">
        <v>43456</v>
      </c>
      <c r="J32">
        <v>4</v>
      </c>
    </row>
    <row r="33" spans="1:10" x14ac:dyDescent="0.25">
      <c r="A33">
        <v>812306</v>
      </c>
      <c r="B33">
        <v>785432</v>
      </c>
      <c r="C33" t="s">
        <v>14</v>
      </c>
      <c r="D33">
        <v>81</v>
      </c>
      <c r="E33">
        <v>405</v>
      </c>
      <c r="F33">
        <v>202.5</v>
      </c>
      <c r="G33">
        <v>202.5</v>
      </c>
      <c r="H33" s="1">
        <v>43451</v>
      </c>
      <c r="I33" s="1">
        <v>43456</v>
      </c>
      <c r="J33">
        <v>5</v>
      </c>
    </row>
    <row r="34" spans="1:10" x14ac:dyDescent="0.25">
      <c r="A34">
        <v>206703</v>
      </c>
      <c r="B34">
        <v>152689</v>
      </c>
      <c r="C34" t="s">
        <v>11</v>
      </c>
      <c r="D34">
        <v>888</v>
      </c>
      <c r="E34">
        <v>4440</v>
      </c>
      <c r="F34">
        <v>2220</v>
      </c>
      <c r="G34">
        <v>2220</v>
      </c>
      <c r="H34" s="1">
        <v>43451</v>
      </c>
      <c r="I34" s="1">
        <v>43456</v>
      </c>
      <c r="J34">
        <v>5</v>
      </c>
    </row>
    <row r="35" spans="1:10" x14ac:dyDescent="0.25">
      <c r="A35">
        <v>828072</v>
      </c>
      <c r="B35">
        <v>152689</v>
      </c>
      <c r="C35" t="s">
        <v>11</v>
      </c>
      <c r="D35">
        <v>294</v>
      </c>
      <c r="E35">
        <v>1470</v>
      </c>
      <c r="F35">
        <v>735</v>
      </c>
      <c r="G35">
        <v>735</v>
      </c>
      <c r="H35" s="1">
        <v>43451</v>
      </c>
      <c r="I35" s="1">
        <v>43456</v>
      </c>
      <c r="J35">
        <v>5</v>
      </c>
    </row>
    <row r="36" spans="1:10" x14ac:dyDescent="0.25">
      <c r="A36">
        <v>892458</v>
      </c>
      <c r="B36">
        <v>325698</v>
      </c>
      <c r="C36" t="s">
        <v>15</v>
      </c>
      <c r="D36">
        <v>590</v>
      </c>
      <c r="E36">
        <v>2950</v>
      </c>
      <c r="F36">
        <v>1475</v>
      </c>
      <c r="G36">
        <v>1475</v>
      </c>
      <c r="H36" s="1">
        <v>43453</v>
      </c>
      <c r="I36" s="1">
        <v>43455</v>
      </c>
      <c r="J36">
        <v>2</v>
      </c>
    </row>
    <row r="37" spans="1:10" x14ac:dyDescent="0.25">
      <c r="A37">
        <v>619130</v>
      </c>
      <c r="B37">
        <v>785432</v>
      </c>
      <c r="C37" t="s">
        <v>14</v>
      </c>
      <c r="D37">
        <v>671</v>
      </c>
      <c r="E37">
        <v>3355</v>
      </c>
      <c r="F37">
        <v>1677.5</v>
      </c>
      <c r="G37">
        <v>1677.5</v>
      </c>
      <c r="H37" s="1">
        <v>43449</v>
      </c>
      <c r="I37" s="1">
        <v>43453</v>
      </c>
      <c r="J37">
        <v>4</v>
      </c>
    </row>
    <row r="38" spans="1:10" x14ac:dyDescent="0.25">
      <c r="A38">
        <v>720134</v>
      </c>
      <c r="B38">
        <v>325698</v>
      </c>
      <c r="C38" t="s">
        <v>15</v>
      </c>
      <c r="D38">
        <v>641</v>
      </c>
      <c r="E38">
        <v>3205</v>
      </c>
      <c r="F38">
        <v>1602.5</v>
      </c>
      <c r="G38">
        <v>1602.5</v>
      </c>
      <c r="H38" s="1">
        <v>43450</v>
      </c>
      <c r="I38" s="1">
        <v>43452</v>
      </c>
      <c r="J38">
        <v>2</v>
      </c>
    </row>
    <row r="39" spans="1:10" x14ac:dyDescent="0.25">
      <c r="A39">
        <v>136405</v>
      </c>
      <c r="B39">
        <v>452584</v>
      </c>
      <c r="C39" t="s">
        <v>12</v>
      </c>
      <c r="D39">
        <v>744</v>
      </c>
      <c r="E39">
        <v>3720</v>
      </c>
      <c r="F39">
        <v>1860</v>
      </c>
      <c r="G39">
        <v>1860</v>
      </c>
      <c r="H39" s="1">
        <v>43449</v>
      </c>
      <c r="I39" s="1">
        <v>43451</v>
      </c>
      <c r="J39">
        <v>2</v>
      </c>
    </row>
    <row r="40" spans="1:10" x14ac:dyDescent="0.25">
      <c r="A40">
        <v>191249</v>
      </c>
      <c r="B40">
        <v>325698</v>
      </c>
      <c r="C40" t="s">
        <v>15</v>
      </c>
      <c r="D40">
        <v>246</v>
      </c>
      <c r="E40">
        <v>1230</v>
      </c>
      <c r="F40">
        <v>615</v>
      </c>
      <c r="G40">
        <v>615</v>
      </c>
      <c r="H40" s="1">
        <v>43449</v>
      </c>
      <c r="I40" s="1">
        <v>43451</v>
      </c>
      <c r="J40">
        <v>2</v>
      </c>
    </row>
    <row r="41" spans="1:10" x14ac:dyDescent="0.25">
      <c r="A41">
        <v>155922</v>
      </c>
      <c r="B41">
        <v>985245</v>
      </c>
      <c r="C41" t="s">
        <v>13</v>
      </c>
      <c r="D41">
        <v>564</v>
      </c>
      <c r="E41">
        <v>2820</v>
      </c>
      <c r="F41">
        <v>1410</v>
      </c>
      <c r="G41">
        <v>1410</v>
      </c>
      <c r="H41" s="1">
        <v>43447</v>
      </c>
      <c r="I41" s="1">
        <v>43451</v>
      </c>
      <c r="J41">
        <v>4</v>
      </c>
    </row>
    <row r="42" spans="1:10" x14ac:dyDescent="0.25">
      <c r="A42">
        <v>642115</v>
      </c>
      <c r="B42">
        <v>985245</v>
      </c>
      <c r="C42" t="s">
        <v>13</v>
      </c>
      <c r="D42">
        <v>105</v>
      </c>
      <c r="E42">
        <v>525</v>
      </c>
      <c r="F42">
        <v>262.5</v>
      </c>
      <c r="G42">
        <v>262.5</v>
      </c>
      <c r="H42" s="1">
        <v>43447</v>
      </c>
      <c r="I42" s="1">
        <v>43451</v>
      </c>
      <c r="J42">
        <v>4</v>
      </c>
    </row>
    <row r="43" spans="1:10" x14ac:dyDescent="0.25">
      <c r="A43">
        <v>189173</v>
      </c>
      <c r="B43">
        <v>985245</v>
      </c>
      <c r="C43" t="s">
        <v>13</v>
      </c>
      <c r="D43">
        <v>564</v>
      </c>
      <c r="E43">
        <v>2820</v>
      </c>
      <c r="F43">
        <v>1410</v>
      </c>
      <c r="G43">
        <v>1410</v>
      </c>
      <c r="H43" s="1">
        <v>43446</v>
      </c>
      <c r="I43" s="1">
        <v>43450</v>
      </c>
      <c r="J43">
        <v>4</v>
      </c>
    </row>
    <row r="44" spans="1:10" x14ac:dyDescent="0.25">
      <c r="A44">
        <v>938098</v>
      </c>
      <c r="B44">
        <v>985245</v>
      </c>
      <c r="C44" t="s">
        <v>13</v>
      </c>
      <c r="D44">
        <v>662</v>
      </c>
      <c r="E44">
        <v>3310</v>
      </c>
      <c r="F44">
        <v>1655</v>
      </c>
      <c r="G44">
        <v>1655</v>
      </c>
      <c r="H44" s="1">
        <v>43446</v>
      </c>
      <c r="I44" s="1">
        <v>43450</v>
      </c>
      <c r="J44">
        <v>4</v>
      </c>
    </row>
    <row r="45" spans="1:10" x14ac:dyDescent="0.25">
      <c r="A45">
        <v>526282</v>
      </c>
      <c r="B45">
        <v>152689</v>
      </c>
      <c r="C45" t="s">
        <v>11</v>
      </c>
      <c r="D45">
        <v>98</v>
      </c>
      <c r="E45">
        <v>490</v>
      </c>
      <c r="F45">
        <v>245</v>
      </c>
      <c r="G45">
        <v>245</v>
      </c>
      <c r="H45" s="1">
        <v>43445</v>
      </c>
      <c r="I45" s="1">
        <v>43450</v>
      </c>
      <c r="J45">
        <v>5</v>
      </c>
    </row>
    <row r="46" spans="1:10" x14ac:dyDescent="0.25">
      <c r="A46">
        <v>711636</v>
      </c>
      <c r="B46">
        <v>152689</v>
      </c>
      <c r="C46" t="s">
        <v>11</v>
      </c>
      <c r="D46">
        <v>560</v>
      </c>
      <c r="E46">
        <v>2800</v>
      </c>
      <c r="F46">
        <v>1400</v>
      </c>
      <c r="G46">
        <v>1400</v>
      </c>
      <c r="H46" s="1">
        <v>43445</v>
      </c>
      <c r="I46" s="1">
        <v>43450</v>
      </c>
      <c r="J46">
        <v>5</v>
      </c>
    </row>
    <row r="47" spans="1:10" x14ac:dyDescent="0.25">
      <c r="A47">
        <v>550611</v>
      </c>
      <c r="B47">
        <v>152689</v>
      </c>
      <c r="C47" t="s">
        <v>11</v>
      </c>
      <c r="D47">
        <v>185</v>
      </c>
      <c r="E47">
        <v>925</v>
      </c>
      <c r="F47">
        <v>462.5</v>
      </c>
      <c r="G47">
        <v>462.5</v>
      </c>
      <c r="H47" s="1">
        <v>43444</v>
      </c>
      <c r="I47" s="1">
        <v>43450</v>
      </c>
      <c r="J47">
        <v>6</v>
      </c>
    </row>
    <row r="48" spans="1:10" x14ac:dyDescent="0.25">
      <c r="A48">
        <v>272792</v>
      </c>
      <c r="B48">
        <v>985245</v>
      </c>
      <c r="C48" t="s">
        <v>13</v>
      </c>
      <c r="D48">
        <v>588</v>
      </c>
      <c r="E48">
        <v>2940</v>
      </c>
      <c r="F48">
        <v>1470</v>
      </c>
      <c r="G48">
        <v>1470</v>
      </c>
      <c r="H48" s="1">
        <v>43446</v>
      </c>
      <c r="I48" s="1">
        <v>43449</v>
      </c>
      <c r="J48">
        <v>3</v>
      </c>
    </row>
    <row r="49" spans="1:10" x14ac:dyDescent="0.25">
      <c r="A49">
        <v>290830</v>
      </c>
      <c r="B49">
        <v>985245</v>
      </c>
      <c r="C49" t="s">
        <v>13</v>
      </c>
      <c r="D49">
        <v>365</v>
      </c>
      <c r="E49">
        <v>1825</v>
      </c>
      <c r="F49">
        <v>912.5</v>
      </c>
      <c r="G49">
        <v>912.5</v>
      </c>
      <c r="H49" s="1">
        <v>43445</v>
      </c>
      <c r="I49" s="1">
        <v>43449</v>
      </c>
      <c r="J49">
        <v>4</v>
      </c>
    </row>
    <row r="50" spans="1:10" x14ac:dyDescent="0.25">
      <c r="A50">
        <v>303389</v>
      </c>
      <c r="B50">
        <v>785432</v>
      </c>
      <c r="C50" t="s">
        <v>14</v>
      </c>
      <c r="D50">
        <v>549</v>
      </c>
      <c r="E50">
        <v>2745</v>
      </c>
      <c r="F50">
        <v>1372.5</v>
      </c>
      <c r="G50">
        <v>1372.5</v>
      </c>
      <c r="H50" s="1">
        <v>43445</v>
      </c>
      <c r="I50" s="1">
        <v>43449</v>
      </c>
      <c r="J50">
        <v>4</v>
      </c>
    </row>
    <row r="51" spans="1:10" x14ac:dyDescent="0.25">
      <c r="A51">
        <v>992034</v>
      </c>
      <c r="B51">
        <v>152689</v>
      </c>
      <c r="C51" t="s">
        <v>11</v>
      </c>
      <c r="D51">
        <v>88</v>
      </c>
      <c r="E51">
        <v>440</v>
      </c>
      <c r="F51">
        <v>220</v>
      </c>
      <c r="G51">
        <v>220</v>
      </c>
      <c r="H51" s="1">
        <v>43444</v>
      </c>
      <c r="I51" s="1">
        <v>43449</v>
      </c>
      <c r="J51">
        <v>5</v>
      </c>
    </row>
    <row r="52" spans="1:10" x14ac:dyDescent="0.25">
      <c r="A52">
        <v>405505</v>
      </c>
      <c r="B52">
        <v>785432</v>
      </c>
      <c r="C52" t="s">
        <v>14</v>
      </c>
      <c r="D52">
        <v>895</v>
      </c>
      <c r="E52">
        <v>4475</v>
      </c>
      <c r="F52">
        <v>2237.5</v>
      </c>
      <c r="G52">
        <v>2237.5</v>
      </c>
      <c r="H52" s="1">
        <v>43443</v>
      </c>
      <c r="I52" s="1">
        <v>43448</v>
      </c>
      <c r="J52">
        <v>5</v>
      </c>
    </row>
    <row r="53" spans="1:10" x14ac:dyDescent="0.25">
      <c r="A53">
        <v>821172</v>
      </c>
      <c r="B53">
        <v>985245</v>
      </c>
      <c r="C53" t="s">
        <v>13</v>
      </c>
      <c r="D53">
        <v>840</v>
      </c>
      <c r="E53">
        <v>4200</v>
      </c>
      <c r="F53">
        <v>2100</v>
      </c>
      <c r="G53">
        <v>2100</v>
      </c>
      <c r="H53" s="1">
        <v>43443</v>
      </c>
      <c r="I53" s="1">
        <v>43447</v>
      </c>
      <c r="J53">
        <v>4</v>
      </c>
    </row>
    <row r="54" spans="1:10" x14ac:dyDescent="0.25">
      <c r="A54">
        <v>276942</v>
      </c>
      <c r="B54">
        <v>152689</v>
      </c>
      <c r="C54" t="s">
        <v>11</v>
      </c>
      <c r="D54">
        <v>168</v>
      </c>
      <c r="E54">
        <v>840</v>
      </c>
      <c r="F54">
        <v>420</v>
      </c>
      <c r="G54">
        <v>420</v>
      </c>
      <c r="H54" s="1">
        <v>43442</v>
      </c>
      <c r="I54" s="1">
        <v>43447</v>
      </c>
      <c r="J54">
        <v>5</v>
      </c>
    </row>
    <row r="55" spans="1:10" x14ac:dyDescent="0.25">
      <c r="A55">
        <v>889422</v>
      </c>
      <c r="B55">
        <v>152689</v>
      </c>
      <c r="C55" t="s">
        <v>11</v>
      </c>
      <c r="D55">
        <v>721</v>
      </c>
      <c r="E55">
        <v>3605</v>
      </c>
      <c r="F55">
        <v>1802.5</v>
      </c>
      <c r="G55">
        <v>1802.5</v>
      </c>
      <c r="H55" s="1">
        <v>43442</v>
      </c>
      <c r="I55" s="1">
        <v>43447</v>
      </c>
      <c r="J55">
        <v>5</v>
      </c>
    </row>
    <row r="56" spans="1:10" x14ac:dyDescent="0.25">
      <c r="A56">
        <v>422603</v>
      </c>
      <c r="B56">
        <v>785432</v>
      </c>
      <c r="C56" t="s">
        <v>14</v>
      </c>
      <c r="D56">
        <v>862</v>
      </c>
      <c r="E56">
        <v>4310</v>
      </c>
      <c r="F56">
        <v>2155</v>
      </c>
      <c r="G56">
        <v>2155</v>
      </c>
      <c r="H56" s="1">
        <v>43442</v>
      </c>
      <c r="I56" s="1">
        <v>43446</v>
      </c>
      <c r="J56">
        <v>4</v>
      </c>
    </row>
    <row r="57" spans="1:10" x14ac:dyDescent="0.25">
      <c r="A57">
        <v>262517</v>
      </c>
      <c r="B57">
        <v>785432</v>
      </c>
      <c r="C57" t="s">
        <v>14</v>
      </c>
      <c r="D57">
        <v>738</v>
      </c>
      <c r="E57">
        <v>3690</v>
      </c>
      <c r="F57">
        <v>1845</v>
      </c>
      <c r="G57">
        <v>1845</v>
      </c>
      <c r="H57" s="1">
        <v>43441</v>
      </c>
      <c r="I57" s="1">
        <v>43446</v>
      </c>
      <c r="J57">
        <v>5</v>
      </c>
    </row>
    <row r="58" spans="1:10" x14ac:dyDescent="0.25">
      <c r="A58">
        <v>213386</v>
      </c>
      <c r="B58">
        <v>325698</v>
      </c>
      <c r="C58" t="s">
        <v>15</v>
      </c>
      <c r="D58">
        <v>55</v>
      </c>
      <c r="E58">
        <v>275</v>
      </c>
      <c r="F58">
        <v>137.5</v>
      </c>
      <c r="G58">
        <v>137.5</v>
      </c>
      <c r="H58" s="1">
        <v>43443</v>
      </c>
      <c r="I58" s="1">
        <v>43445</v>
      </c>
      <c r="J58">
        <v>2</v>
      </c>
    </row>
    <row r="59" spans="1:10" x14ac:dyDescent="0.25">
      <c r="A59">
        <v>527471</v>
      </c>
      <c r="B59">
        <v>152689</v>
      </c>
      <c r="C59" t="s">
        <v>11</v>
      </c>
      <c r="D59">
        <v>810</v>
      </c>
      <c r="E59">
        <v>4050</v>
      </c>
      <c r="F59">
        <v>2025</v>
      </c>
      <c r="G59">
        <v>2025</v>
      </c>
      <c r="H59" s="1">
        <v>43440</v>
      </c>
      <c r="I59" s="1">
        <v>43445</v>
      </c>
      <c r="J59">
        <v>5</v>
      </c>
    </row>
    <row r="60" spans="1:10" x14ac:dyDescent="0.25">
      <c r="A60">
        <v>844626</v>
      </c>
      <c r="B60">
        <v>985245</v>
      </c>
      <c r="C60" t="s">
        <v>13</v>
      </c>
      <c r="D60">
        <v>410</v>
      </c>
      <c r="E60">
        <v>2050</v>
      </c>
      <c r="F60">
        <v>1025</v>
      </c>
      <c r="G60">
        <v>1025</v>
      </c>
      <c r="H60" s="1">
        <v>43440</v>
      </c>
      <c r="I60" s="1">
        <v>43444</v>
      </c>
      <c r="J60">
        <v>4</v>
      </c>
    </row>
    <row r="61" spans="1:10" x14ac:dyDescent="0.25">
      <c r="A61">
        <v>173380</v>
      </c>
      <c r="B61">
        <v>325698</v>
      </c>
      <c r="C61" t="s">
        <v>15</v>
      </c>
      <c r="D61">
        <v>197</v>
      </c>
      <c r="E61">
        <v>985</v>
      </c>
      <c r="F61">
        <v>492.5</v>
      </c>
      <c r="G61">
        <v>492.5</v>
      </c>
      <c r="H61" s="1">
        <v>43441</v>
      </c>
      <c r="I61" s="1">
        <v>43443</v>
      </c>
      <c r="J61">
        <v>2</v>
      </c>
    </row>
    <row r="62" spans="1:10" x14ac:dyDescent="0.25">
      <c r="A62">
        <v>118901</v>
      </c>
      <c r="B62">
        <v>985245</v>
      </c>
      <c r="C62" t="s">
        <v>13</v>
      </c>
      <c r="D62">
        <v>746</v>
      </c>
      <c r="E62">
        <v>3730</v>
      </c>
      <c r="F62">
        <v>1865</v>
      </c>
      <c r="G62">
        <v>1865</v>
      </c>
      <c r="H62" s="1">
        <v>43439</v>
      </c>
      <c r="I62" s="1">
        <v>43443</v>
      </c>
      <c r="J62">
        <v>4</v>
      </c>
    </row>
    <row r="63" spans="1:10" x14ac:dyDescent="0.25">
      <c r="A63">
        <v>277170</v>
      </c>
      <c r="B63">
        <v>325698</v>
      </c>
      <c r="C63" t="s">
        <v>15</v>
      </c>
      <c r="D63">
        <v>243</v>
      </c>
      <c r="E63">
        <v>1215</v>
      </c>
      <c r="F63">
        <v>607.5</v>
      </c>
      <c r="G63">
        <v>607.5</v>
      </c>
      <c r="H63" s="1">
        <v>43440</v>
      </c>
      <c r="I63" s="1">
        <v>43442</v>
      </c>
      <c r="J63">
        <v>2</v>
      </c>
    </row>
    <row r="64" spans="1:10" x14ac:dyDescent="0.25">
      <c r="A64">
        <v>953749</v>
      </c>
      <c r="B64">
        <v>985245</v>
      </c>
      <c r="C64" t="s">
        <v>13</v>
      </c>
      <c r="D64">
        <v>477</v>
      </c>
      <c r="E64">
        <v>2385</v>
      </c>
      <c r="F64">
        <v>1192.5</v>
      </c>
      <c r="G64">
        <v>1192.5</v>
      </c>
      <c r="H64" s="1">
        <v>43438</v>
      </c>
      <c r="I64" s="1">
        <v>43442</v>
      </c>
      <c r="J64">
        <v>4</v>
      </c>
    </row>
    <row r="65" spans="1:10" x14ac:dyDescent="0.25">
      <c r="A65">
        <v>942602</v>
      </c>
      <c r="B65">
        <v>325698</v>
      </c>
      <c r="C65" t="s">
        <v>15</v>
      </c>
      <c r="D65">
        <v>951</v>
      </c>
      <c r="E65">
        <v>4755</v>
      </c>
      <c r="F65">
        <v>2377.5</v>
      </c>
      <c r="G65">
        <v>2377.5</v>
      </c>
      <c r="H65" s="1">
        <v>43439</v>
      </c>
      <c r="I65" s="1">
        <v>43441</v>
      </c>
      <c r="J65">
        <v>2</v>
      </c>
    </row>
    <row r="66" spans="1:10" x14ac:dyDescent="0.25">
      <c r="A66">
        <v>505315</v>
      </c>
      <c r="B66">
        <v>985245</v>
      </c>
      <c r="C66" t="s">
        <v>13</v>
      </c>
      <c r="D66">
        <v>247</v>
      </c>
      <c r="E66">
        <v>1235</v>
      </c>
      <c r="F66">
        <v>617.5</v>
      </c>
      <c r="G66">
        <v>617.5</v>
      </c>
      <c r="H66" s="1">
        <v>43437</v>
      </c>
      <c r="I66" s="1">
        <v>43441</v>
      </c>
      <c r="J66">
        <v>4</v>
      </c>
    </row>
    <row r="67" spans="1:10" x14ac:dyDescent="0.25">
      <c r="A67">
        <v>159152</v>
      </c>
      <c r="B67">
        <v>152689</v>
      </c>
      <c r="C67" t="s">
        <v>11</v>
      </c>
      <c r="D67">
        <v>767</v>
      </c>
      <c r="E67">
        <v>3835</v>
      </c>
      <c r="F67">
        <v>1917.5</v>
      </c>
      <c r="G67">
        <v>1917.5</v>
      </c>
      <c r="H67" s="1">
        <v>43436</v>
      </c>
      <c r="I67" s="1">
        <v>43441</v>
      </c>
      <c r="J67">
        <v>5</v>
      </c>
    </row>
    <row r="68" spans="1:10" x14ac:dyDescent="0.25">
      <c r="A68">
        <v>372717</v>
      </c>
      <c r="B68">
        <v>325698</v>
      </c>
      <c r="C68" t="s">
        <v>15</v>
      </c>
      <c r="D68">
        <v>583</v>
      </c>
      <c r="E68">
        <v>2915</v>
      </c>
      <c r="F68">
        <v>1457.5</v>
      </c>
      <c r="G68">
        <v>1457.5</v>
      </c>
      <c r="H68" s="1">
        <v>43438</v>
      </c>
      <c r="I68" s="1">
        <v>43440</v>
      </c>
      <c r="J68">
        <v>2</v>
      </c>
    </row>
    <row r="69" spans="1:10" x14ac:dyDescent="0.25">
      <c r="A69">
        <v>872410</v>
      </c>
      <c r="B69">
        <v>325698</v>
      </c>
      <c r="C69" t="s">
        <v>15</v>
      </c>
      <c r="D69">
        <v>229</v>
      </c>
      <c r="E69">
        <v>1145</v>
      </c>
      <c r="F69">
        <v>572.5</v>
      </c>
      <c r="G69">
        <v>572.5</v>
      </c>
      <c r="H69" s="1">
        <v>43437</v>
      </c>
      <c r="I69" s="1">
        <v>43439</v>
      </c>
      <c r="J69">
        <v>2</v>
      </c>
    </row>
    <row r="70" spans="1:10" x14ac:dyDescent="0.25">
      <c r="A70">
        <v>506922</v>
      </c>
      <c r="B70">
        <v>325698</v>
      </c>
      <c r="C70" t="s">
        <v>15</v>
      </c>
      <c r="D70">
        <v>475</v>
      </c>
      <c r="E70">
        <v>2375</v>
      </c>
      <c r="F70">
        <v>1187.5</v>
      </c>
      <c r="G70">
        <v>1187.5</v>
      </c>
      <c r="H70" s="1">
        <v>43437</v>
      </c>
      <c r="I70" s="1">
        <v>43439</v>
      </c>
      <c r="J70">
        <v>2</v>
      </c>
    </row>
    <row r="71" spans="1:10" x14ac:dyDescent="0.25">
      <c r="A71">
        <v>826820</v>
      </c>
      <c r="B71">
        <v>985245</v>
      </c>
      <c r="C71" t="s">
        <v>13</v>
      </c>
      <c r="D71">
        <v>786</v>
      </c>
      <c r="E71">
        <v>3930</v>
      </c>
      <c r="F71">
        <v>1965</v>
      </c>
      <c r="G71">
        <v>1965</v>
      </c>
      <c r="H71" s="1">
        <v>43435</v>
      </c>
      <c r="I71" s="1">
        <v>43439</v>
      </c>
      <c r="J71">
        <v>4</v>
      </c>
    </row>
    <row r="72" spans="1:10" x14ac:dyDescent="0.25">
      <c r="A72">
        <v>814464</v>
      </c>
      <c r="B72">
        <v>785432</v>
      </c>
      <c r="C72" t="s">
        <v>14</v>
      </c>
      <c r="D72">
        <v>710</v>
      </c>
      <c r="E72">
        <v>3550</v>
      </c>
      <c r="F72">
        <v>1775</v>
      </c>
      <c r="G72">
        <v>1775</v>
      </c>
      <c r="H72" s="1">
        <v>43434</v>
      </c>
      <c r="I72" s="1">
        <v>43439</v>
      </c>
      <c r="J72">
        <v>5</v>
      </c>
    </row>
    <row r="73" spans="1:10" x14ac:dyDescent="0.25">
      <c r="A73">
        <v>395126</v>
      </c>
      <c r="B73">
        <v>785432</v>
      </c>
      <c r="C73" t="s">
        <v>14</v>
      </c>
      <c r="D73">
        <v>86</v>
      </c>
      <c r="E73">
        <v>430</v>
      </c>
      <c r="F73">
        <v>215</v>
      </c>
      <c r="G73">
        <v>215</v>
      </c>
      <c r="H73" s="1">
        <v>43434</v>
      </c>
      <c r="I73" s="1">
        <v>43439</v>
      </c>
      <c r="J73">
        <v>5</v>
      </c>
    </row>
    <row r="74" spans="1:10" x14ac:dyDescent="0.25">
      <c r="A74">
        <v>417405</v>
      </c>
      <c r="B74">
        <v>325698</v>
      </c>
      <c r="C74" t="s">
        <v>15</v>
      </c>
      <c r="D74">
        <v>101</v>
      </c>
      <c r="E74">
        <v>505</v>
      </c>
      <c r="F74">
        <v>252.5</v>
      </c>
      <c r="G74">
        <v>252.5</v>
      </c>
      <c r="H74" s="1">
        <v>43435</v>
      </c>
      <c r="I74" s="1">
        <v>43437</v>
      </c>
      <c r="J74">
        <v>2</v>
      </c>
    </row>
    <row r="75" spans="1:10" x14ac:dyDescent="0.25">
      <c r="A75">
        <v>661484</v>
      </c>
      <c r="B75">
        <v>985245</v>
      </c>
      <c r="C75" t="s">
        <v>13</v>
      </c>
      <c r="D75">
        <v>940</v>
      </c>
      <c r="E75">
        <v>4700</v>
      </c>
      <c r="F75">
        <v>2350</v>
      </c>
      <c r="G75">
        <v>2350</v>
      </c>
      <c r="H75" s="1">
        <v>43433</v>
      </c>
      <c r="I75" s="1">
        <v>43437</v>
      </c>
      <c r="J75">
        <v>4</v>
      </c>
    </row>
    <row r="76" spans="1:10" x14ac:dyDescent="0.25">
      <c r="A76">
        <v>851717</v>
      </c>
      <c r="B76">
        <v>152689</v>
      </c>
      <c r="C76" t="s">
        <v>11</v>
      </c>
      <c r="D76">
        <v>130</v>
      </c>
      <c r="E76">
        <v>650</v>
      </c>
      <c r="F76">
        <v>325</v>
      </c>
      <c r="G76">
        <v>325</v>
      </c>
      <c r="H76" s="1">
        <v>43432</v>
      </c>
      <c r="I76" s="1">
        <v>43437</v>
      </c>
      <c r="J76">
        <v>5</v>
      </c>
    </row>
    <row r="77" spans="1:10" x14ac:dyDescent="0.25">
      <c r="A77">
        <v>545153</v>
      </c>
      <c r="B77">
        <v>325698</v>
      </c>
      <c r="C77" t="s">
        <v>15</v>
      </c>
      <c r="D77">
        <v>821</v>
      </c>
      <c r="E77">
        <v>4105</v>
      </c>
      <c r="F77">
        <v>2052.5</v>
      </c>
      <c r="G77">
        <v>2052.5</v>
      </c>
      <c r="H77" s="1">
        <v>43434</v>
      </c>
      <c r="I77" s="1">
        <v>43436</v>
      </c>
      <c r="J77">
        <v>2</v>
      </c>
    </row>
    <row r="78" spans="1:10" x14ac:dyDescent="0.25">
      <c r="A78">
        <v>131853</v>
      </c>
      <c r="B78">
        <v>985245</v>
      </c>
      <c r="C78" t="s">
        <v>13</v>
      </c>
      <c r="D78">
        <v>668</v>
      </c>
      <c r="E78">
        <v>3340</v>
      </c>
      <c r="F78">
        <v>1670</v>
      </c>
      <c r="G78">
        <v>1670</v>
      </c>
      <c r="H78" s="1">
        <v>43432</v>
      </c>
      <c r="I78" s="1">
        <v>43436</v>
      </c>
      <c r="J78">
        <v>4</v>
      </c>
    </row>
    <row r="79" spans="1:10" x14ac:dyDescent="0.25">
      <c r="A79">
        <v>520913</v>
      </c>
      <c r="B79">
        <v>985245</v>
      </c>
      <c r="C79" t="s">
        <v>13</v>
      </c>
      <c r="D79">
        <v>629</v>
      </c>
      <c r="E79">
        <v>3145</v>
      </c>
      <c r="F79">
        <v>1572.5</v>
      </c>
      <c r="G79">
        <v>1572.5</v>
      </c>
      <c r="H79" s="1">
        <v>43432</v>
      </c>
      <c r="I79" s="1">
        <v>43436</v>
      </c>
      <c r="J79">
        <v>4</v>
      </c>
    </row>
    <row r="80" spans="1:10" x14ac:dyDescent="0.25">
      <c r="A80">
        <v>445269</v>
      </c>
      <c r="B80">
        <v>152689</v>
      </c>
      <c r="C80" t="s">
        <v>11</v>
      </c>
      <c r="D80">
        <v>286</v>
      </c>
      <c r="E80">
        <v>1430</v>
      </c>
      <c r="F80">
        <v>715</v>
      </c>
      <c r="G80">
        <v>715</v>
      </c>
      <c r="H80" s="1">
        <v>43431</v>
      </c>
      <c r="I80" s="1">
        <v>43436</v>
      </c>
      <c r="J80">
        <v>5</v>
      </c>
    </row>
    <row r="81" spans="1:10" x14ac:dyDescent="0.25">
      <c r="A81">
        <v>747149</v>
      </c>
      <c r="B81">
        <v>785432</v>
      </c>
      <c r="C81" t="s">
        <v>14</v>
      </c>
      <c r="D81">
        <v>387</v>
      </c>
      <c r="E81">
        <v>1935</v>
      </c>
      <c r="F81">
        <v>967.5</v>
      </c>
      <c r="G81">
        <v>967.5</v>
      </c>
      <c r="H81" s="1">
        <v>43430</v>
      </c>
      <c r="I81" s="1">
        <v>43435</v>
      </c>
      <c r="J81">
        <v>5</v>
      </c>
    </row>
    <row r="82" spans="1:10" x14ac:dyDescent="0.25">
      <c r="A82">
        <v>120003</v>
      </c>
      <c r="B82">
        <v>152689</v>
      </c>
      <c r="C82" t="s">
        <v>11</v>
      </c>
      <c r="D82">
        <v>828</v>
      </c>
      <c r="E82">
        <v>4140</v>
      </c>
      <c r="F82">
        <v>2070</v>
      </c>
      <c r="G82">
        <v>2070</v>
      </c>
      <c r="H82" s="1">
        <v>43430</v>
      </c>
      <c r="I82" s="1">
        <v>43435</v>
      </c>
      <c r="J82">
        <v>5</v>
      </c>
    </row>
    <row r="83" spans="1:10" x14ac:dyDescent="0.25">
      <c r="A83">
        <v>876754</v>
      </c>
      <c r="B83">
        <v>325698</v>
      </c>
      <c r="C83" t="s">
        <v>15</v>
      </c>
      <c r="D83">
        <v>770</v>
      </c>
      <c r="E83">
        <v>3850</v>
      </c>
      <c r="F83">
        <v>1925</v>
      </c>
      <c r="G83">
        <v>1925</v>
      </c>
      <c r="H83" s="1">
        <v>43432</v>
      </c>
      <c r="I83" s="1">
        <v>43434</v>
      </c>
      <c r="J83">
        <v>2</v>
      </c>
    </row>
    <row r="84" spans="1:10" x14ac:dyDescent="0.25">
      <c r="A84">
        <v>107564</v>
      </c>
      <c r="B84">
        <v>985245</v>
      </c>
      <c r="C84" t="s">
        <v>13</v>
      </c>
      <c r="D84">
        <v>326</v>
      </c>
      <c r="E84">
        <v>1630</v>
      </c>
      <c r="F84">
        <v>815</v>
      </c>
      <c r="G84">
        <v>815</v>
      </c>
      <c r="H84" s="1">
        <v>43429</v>
      </c>
      <c r="I84" s="1">
        <v>43433</v>
      </c>
      <c r="J84">
        <v>4</v>
      </c>
    </row>
    <row r="85" spans="1:10" x14ac:dyDescent="0.25">
      <c r="A85">
        <v>713016</v>
      </c>
      <c r="B85">
        <v>785432</v>
      </c>
      <c r="C85" t="s">
        <v>14</v>
      </c>
      <c r="D85">
        <v>495</v>
      </c>
      <c r="E85">
        <v>2475</v>
      </c>
      <c r="F85">
        <v>1237.5</v>
      </c>
      <c r="G85">
        <v>1237.5</v>
      </c>
      <c r="H85" s="1">
        <v>43428</v>
      </c>
      <c r="I85" s="1">
        <v>43433</v>
      </c>
      <c r="J85">
        <v>5</v>
      </c>
    </row>
    <row r="86" spans="1:10" x14ac:dyDescent="0.25">
      <c r="A86">
        <v>113782</v>
      </c>
      <c r="B86">
        <v>152689</v>
      </c>
      <c r="C86" t="s">
        <v>11</v>
      </c>
      <c r="D86">
        <v>862</v>
      </c>
      <c r="E86">
        <v>4310</v>
      </c>
      <c r="F86">
        <v>2155</v>
      </c>
      <c r="G86">
        <v>2155</v>
      </c>
      <c r="H86" s="1">
        <v>43428</v>
      </c>
      <c r="I86" s="1">
        <v>43433</v>
      </c>
      <c r="J86">
        <v>5</v>
      </c>
    </row>
    <row r="87" spans="1:10" x14ac:dyDescent="0.25">
      <c r="A87">
        <v>446955</v>
      </c>
      <c r="B87">
        <v>325698</v>
      </c>
      <c r="C87" t="s">
        <v>15</v>
      </c>
      <c r="D87">
        <v>530</v>
      </c>
      <c r="E87">
        <v>2650</v>
      </c>
      <c r="F87">
        <v>1325</v>
      </c>
      <c r="G87">
        <v>1325</v>
      </c>
      <c r="H87" s="1">
        <v>43430</v>
      </c>
      <c r="I87" s="1">
        <v>43432</v>
      </c>
      <c r="J87">
        <v>2</v>
      </c>
    </row>
    <row r="88" spans="1:10" x14ac:dyDescent="0.25">
      <c r="A88">
        <v>483418</v>
      </c>
      <c r="B88">
        <v>325698</v>
      </c>
      <c r="C88" t="s">
        <v>15</v>
      </c>
      <c r="D88">
        <v>782</v>
      </c>
      <c r="E88">
        <v>3910</v>
      </c>
      <c r="F88">
        <v>1955</v>
      </c>
      <c r="G88">
        <v>1955</v>
      </c>
      <c r="H88" s="1">
        <v>43429</v>
      </c>
      <c r="I88" s="1">
        <v>43432</v>
      </c>
      <c r="J88">
        <v>3</v>
      </c>
    </row>
    <row r="89" spans="1:10" x14ac:dyDescent="0.25">
      <c r="A89">
        <v>330783</v>
      </c>
      <c r="B89">
        <v>985245</v>
      </c>
      <c r="C89" t="s">
        <v>13</v>
      </c>
      <c r="D89">
        <v>973</v>
      </c>
      <c r="E89">
        <v>4865</v>
      </c>
      <c r="F89">
        <v>2432.5</v>
      </c>
      <c r="G89">
        <v>2432.5</v>
      </c>
      <c r="H89" s="1">
        <v>43429</v>
      </c>
      <c r="I89" s="1">
        <v>43432</v>
      </c>
      <c r="J89">
        <v>3</v>
      </c>
    </row>
    <row r="90" spans="1:10" x14ac:dyDescent="0.25">
      <c r="A90">
        <v>612078</v>
      </c>
      <c r="B90">
        <v>452584</v>
      </c>
      <c r="C90" t="s">
        <v>12</v>
      </c>
      <c r="D90">
        <v>332</v>
      </c>
      <c r="E90">
        <v>1660</v>
      </c>
      <c r="F90">
        <v>830</v>
      </c>
      <c r="G90">
        <v>830</v>
      </c>
      <c r="H90" s="1">
        <v>43429</v>
      </c>
      <c r="I90" s="1">
        <v>43431</v>
      </c>
      <c r="J90">
        <v>2</v>
      </c>
    </row>
    <row r="91" spans="1:10" x14ac:dyDescent="0.25">
      <c r="A91">
        <v>604812</v>
      </c>
      <c r="B91">
        <v>452584</v>
      </c>
      <c r="C91" t="s">
        <v>12</v>
      </c>
      <c r="D91">
        <v>504</v>
      </c>
      <c r="E91">
        <v>2520</v>
      </c>
      <c r="F91">
        <v>1260</v>
      </c>
      <c r="G91">
        <v>1260</v>
      </c>
      <c r="H91" s="1">
        <v>43429</v>
      </c>
      <c r="I91" s="1">
        <v>43431</v>
      </c>
      <c r="J91">
        <v>2</v>
      </c>
    </row>
    <row r="92" spans="1:10" x14ac:dyDescent="0.25">
      <c r="A92">
        <v>382370</v>
      </c>
      <c r="B92">
        <v>985245</v>
      </c>
      <c r="C92" t="s">
        <v>13</v>
      </c>
      <c r="D92">
        <v>192</v>
      </c>
      <c r="E92">
        <v>960</v>
      </c>
      <c r="F92">
        <v>480</v>
      </c>
      <c r="G92">
        <v>480</v>
      </c>
      <c r="H92" s="1">
        <v>43427</v>
      </c>
      <c r="I92" s="1">
        <v>43431</v>
      </c>
      <c r="J92">
        <v>4</v>
      </c>
    </row>
    <row r="93" spans="1:10" x14ac:dyDescent="0.25">
      <c r="A93">
        <v>640121</v>
      </c>
      <c r="B93">
        <v>152689</v>
      </c>
      <c r="C93" t="s">
        <v>11</v>
      </c>
      <c r="D93">
        <v>922</v>
      </c>
      <c r="E93">
        <v>4610</v>
      </c>
      <c r="F93">
        <v>2305</v>
      </c>
      <c r="G93">
        <v>2305</v>
      </c>
      <c r="H93" s="1">
        <v>43426</v>
      </c>
      <c r="I93" s="1">
        <v>43431</v>
      </c>
      <c r="J93">
        <v>5</v>
      </c>
    </row>
    <row r="94" spans="1:10" x14ac:dyDescent="0.25">
      <c r="A94">
        <v>505927</v>
      </c>
      <c r="B94">
        <v>985245</v>
      </c>
      <c r="C94" t="s">
        <v>13</v>
      </c>
      <c r="D94">
        <v>463</v>
      </c>
      <c r="E94">
        <v>2315</v>
      </c>
      <c r="F94">
        <v>1157.5</v>
      </c>
      <c r="G94">
        <v>1157.5</v>
      </c>
      <c r="H94" s="1">
        <v>43426</v>
      </c>
      <c r="I94" s="1">
        <v>43430</v>
      </c>
      <c r="J94">
        <v>4</v>
      </c>
    </row>
    <row r="95" spans="1:10" x14ac:dyDescent="0.25">
      <c r="A95">
        <v>659985</v>
      </c>
      <c r="B95">
        <v>985245</v>
      </c>
      <c r="C95" t="s">
        <v>13</v>
      </c>
      <c r="D95">
        <v>417</v>
      </c>
      <c r="E95">
        <v>2085</v>
      </c>
      <c r="F95">
        <v>1042.5</v>
      </c>
      <c r="G95">
        <v>1042.5</v>
      </c>
      <c r="H95" s="1">
        <v>43426</v>
      </c>
      <c r="I95" s="1">
        <v>43430</v>
      </c>
      <c r="J95">
        <v>4</v>
      </c>
    </row>
    <row r="96" spans="1:10" x14ac:dyDescent="0.25">
      <c r="A96">
        <v>724626</v>
      </c>
      <c r="B96">
        <v>985245</v>
      </c>
      <c r="C96" t="s">
        <v>13</v>
      </c>
      <c r="D96">
        <v>191</v>
      </c>
      <c r="E96">
        <v>955</v>
      </c>
      <c r="F96">
        <v>477.5</v>
      </c>
      <c r="G96">
        <v>477.5</v>
      </c>
      <c r="H96" s="1">
        <v>43426</v>
      </c>
      <c r="I96" s="1">
        <v>43430</v>
      </c>
      <c r="J96">
        <v>4</v>
      </c>
    </row>
    <row r="97" spans="1:10" x14ac:dyDescent="0.25">
      <c r="A97">
        <v>275726</v>
      </c>
      <c r="B97">
        <v>325698</v>
      </c>
      <c r="C97" t="s">
        <v>15</v>
      </c>
      <c r="D97">
        <v>777</v>
      </c>
      <c r="E97">
        <v>3885</v>
      </c>
      <c r="F97">
        <v>1942.5</v>
      </c>
      <c r="G97">
        <v>1942.5</v>
      </c>
      <c r="H97" s="1">
        <v>43427</v>
      </c>
      <c r="I97" s="1">
        <v>43429</v>
      </c>
      <c r="J97">
        <v>2</v>
      </c>
    </row>
    <row r="98" spans="1:10" x14ac:dyDescent="0.25">
      <c r="A98">
        <v>362364</v>
      </c>
      <c r="B98">
        <v>985245</v>
      </c>
      <c r="C98" t="s">
        <v>13</v>
      </c>
      <c r="D98">
        <v>502</v>
      </c>
      <c r="E98">
        <v>2510</v>
      </c>
      <c r="F98">
        <v>1255</v>
      </c>
      <c r="G98">
        <v>1255</v>
      </c>
      <c r="H98" s="1">
        <v>43425</v>
      </c>
      <c r="I98" s="1">
        <v>43429</v>
      </c>
      <c r="J98">
        <v>4</v>
      </c>
    </row>
    <row r="99" spans="1:10" x14ac:dyDescent="0.25">
      <c r="A99">
        <v>905497</v>
      </c>
      <c r="B99">
        <v>785432</v>
      </c>
      <c r="C99" t="s">
        <v>14</v>
      </c>
      <c r="D99">
        <v>850</v>
      </c>
      <c r="E99">
        <v>4250</v>
      </c>
      <c r="F99">
        <v>2125</v>
      </c>
      <c r="G99">
        <v>2125</v>
      </c>
      <c r="H99" s="1">
        <v>43425</v>
      </c>
      <c r="I99" s="1">
        <v>43429</v>
      </c>
      <c r="J99">
        <v>4</v>
      </c>
    </row>
    <row r="100" spans="1:10" x14ac:dyDescent="0.25">
      <c r="A100">
        <v>152616</v>
      </c>
      <c r="B100">
        <v>985245</v>
      </c>
      <c r="C100" t="s">
        <v>13</v>
      </c>
      <c r="D100">
        <v>606</v>
      </c>
      <c r="E100">
        <v>3030</v>
      </c>
      <c r="F100">
        <v>1515</v>
      </c>
      <c r="G100">
        <v>1515</v>
      </c>
      <c r="H100" s="1">
        <v>43424</v>
      </c>
      <c r="I100" s="1">
        <v>43427</v>
      </c>
      <c r="J100">
        <v>3</v>
      </c>
    </row>
    <row r="101" spans="1:10" x14ac:dyDescent="0.25">
      <c r="A101">
        <v>825940</v>
      </c>
      <c r="B101">
        <v>785432</v>
      </c>
      <c r="C101" t="s">
        <v>14</v>
      </c>
      <c r="D101">
        <v>821</v>
      </c>
      <c r="E101">
        <v>4105</v>
      </c>
      <c r="F101">
        <v>2052.5</v>
      </c>
      <c r="G101">
        <v>2052.5</v>
      </c>
      <c r="H101" s="1">
        <v>43423</v>
      </c>
      <c r="I101" s="1">
        <v>43427</v>
      </c>
      <c r="J101">
        <v>4</v>
      </c>
    </row>
    <row r="102" spans="1:10" x14ac:dyDescent="0.25">
      <c r="A102">
        <v>131818</v>
      </c>
      <c r="B102">
        <v>785432</v>
      </c>
      <c r="C102" t="s">
        <v>14</v>
      </c>
      <c r="D102">
        <v>880</v>
      </c>
      <c r="E102">
        <v>4400</v>
      </c>
      <c r="F102">
        <v>2200</v>
      </c>
      <c r="G102">
        <v>2200</v>
      </c>
      <c r="H102" s="1">
        <v>43421</v>
      </c>
      <c r="I102" s="1">
        <v>43426</v>
      </c>
      <c r="J102">
        <v>5</v>
      </c>
    </row>
    <row r="103" spans="1:10" x14ac:dyDescent="0.25">
      <c r="A103">
        <v>856895</v>
      </c>
      <c r="B103">
        <v>152689</v>
      </c>
      <c r="C103" t="s">
        <v>11</v>
      </c>
      <c r="D103">
        <v>567</v>
      </c>
      <c r="E103">
        <v>2835</v>
      </c>
      <c r="F103">
        <v>1417.5</v>
      </c>
      <c r="G103">
        <v>1417.5</v>
      </c>
      <c r="H103" s="1">
        <v>43420</v>
      </c>
      <c r="I103" s="1">
        <v>43425</v>
      </c>
      <c r="J103">
        <v>5</v>
      </c>
    </row>
    <row r="104" spans="1:10" x14ac:dyDescent="0.25">
      <c r="A104">
        <v>830880</v>
      </c>
      <c r="B104">
        <v>152689</v>
      </c>
      <c r="C104" t="s">
        <v>11</v>
      </c>
      <c r="D104">
        <v>792</v>
      </c>
      <c r="E104">
        <v>3960</v>
      </c>
      <c r="F104">
        <v>1980</v>
      </c>
      <c r="G104">
        <v>1980</v>
      </c>
      <c r="H104" s="1">
        <v>43420</v>
      </c>
      <c r="I104" s="1">
        <v>43425</v>
      </c>
      <c r="J104">
        <v>5</v>
      </c>
    </row>
    <row r="105" spans="1:10" x14ac:dyDescent="0.25">
      <c r="A105">
        <v>226144</v>
      </c>
      <c r="B105">
        <v>985245</v>
      </c>
      <c r="C105" t="s">
        <v>13</v>
      </c>
      <c r="D105">
        <v>341</v>
      </c>
      <c r="E105">
        <v>1705</v>
      </c>
      <c r="F105">
        <v>852.5</v>
      </c>
      <c r="G105">
        <v>852.5</v>
      </c>
      <c r="H105" s="1">
        <v>43420</v>
      </c>
      <c r="I105" s="1">
        <v>43424</v>
      </c>
      <c r="J105">
        <v>4</v>
      </c>
    </row>
    <row r="106" spans="1:10" x14ac:dyDescent="0.25">
      <c r="A106">
        <v>946152</v>
      </c>
      <c r="B106">
        <v>985245</v>
      </c>
      <c r="C106" t="s">
        <v>13</v>
      </c>
      <c r="D106">
        <v>165</v>
      </c>
      <c r="E106">
        <v>825</v>
      </c>
      <c r="F106">
        <v>412.5</v>
      </c>
      <c r="G106">
        <v>412.5</v>
      </c>
      <c r="H106" s="1">
        <v>43420</v>
      </c>
      <c r="I106" s="1">
        <v>43423</v>
      </c>
      <c r="J106">
        <v>3</v>
      </c>
    </row>
    <row r="107" spans="1:10" x14ac:dyDescent="0.25">
      <c r="A107">
        <v>953253</v>
      </c>
      <c r="B107">
        <v>985245</v>
      </c>
      <c r="C107" t="s">
        <v>13</v>
      </c>
      <c r="D107">
        <v>184</v>
      </c>
      <c r="E107">
        <v>920</v>
      </c>
      <c r="F107">
        <v>460</v>
      </c>
      <c r="G107">
        <v>460</v>
      </c>
      <c r="H107" s="1">
        <v>43419</v>
      </c>
      <c r="I107" s="1">
        <v>43423</v>
      </c>
      <c r="J107">
        <v>4</v>
      </c>
    </row>
    <row r="108" spans="1:10" x14ac:dyDescent="0.25">
      <c r="A108">
        <v>439353</v>
      </c>
      <c r="B108">
        <v>785432</v>
      </c>
      <c r="C108" t="s">
        <v>14</v>
      </c>
      <c r="D108">
        <v>190</v>
      </c>
      <c r="E108">
        <v>950</v>
      </c>
      <c r="F108">
        <v>475</v>
      </c>
      <c r="G108">
        <v>475</v>
      </c>
      <c r="H108" s="1">
        <v>43419</v>
      </c>
      <c r="I108" s="1">
        <v>43423</v>
      </c>
      <c r="J108">
        <v>4</v>
      </c>
    </row>
    <row r="109" spans="1:10" x14ac:dyDescent="0.25">
      <c r="A109">
        <v>551260</v>
      </c>
      <c r="B109">
        <v>785432</v>
      </c>
      <c r="C109" t="s">
        <v>14</v>
      </c>
      <c r="D109">
        <v>497</v>
      </c>
      <c r="E109">
        <v>2485</v>
      </c>
      <c r="F109">
        <v>1242.5</v>
      </c>
      <c r="G109">
        <v>1242.5</v>
      </c>
      <c r="H109" s="1">
        <v>43418</v>
      </c>
      <c r="I109" s="1">
        <v>43423</v>
      </c>
      <c r="J109">
        <v>5</v>
      </c>
    </row>
    <row r="110" spans="1:10" x14ac:dyDescent="0.25">
      <c r="A110">
        <v>382466</v>
      </c>
      <c r="B110">
        <v>452584</v>
      </c>
      <c r="C110" t="s">
        <v>12</v>
      </c>
      <c r="D110">
        <v>782</v>
      </c>
      <c r="E110">
        <v>3910</v>
      </c>
      <c r="F110">
        <v>1955</v>
      </c>
      <c r="G110">
        <v>1955</v>
      </c>
      <c r="H110" s="1">
        <v>43420</v>
      </c>
      <c r="I110" s="1">
        <v>43422</v>
      </c>
      <c r="J110">
        <v>2</v>
      </c>
    </row>
    <row r="111" spans="1:10" x14ac:dyDescent="0.25">
      <c r="A111">
        <v>590377</v>
      </c>
      <c r="B111">
        <v>325698</v>
      </c>
      <c r="C111" t="s">
        <v>15</v>
      </c>
      <c r="D111">
        <v>993</v>
      </c>
      <c r="E111">
        <v>4965</v>
      </c>
      <c r="F111">
        <v>2482.5</v>
      </c>
      <c r="G111">
        <v>2482.5</v>
      </c>
      <c r="H111" s="1">
        <v>43420</v>
      </c>
      <c r="I111" s="1">
        <v>43422</v>
      </c>
      <c r="J111">
        <v>2</v>
      </c>
    </row>
    <row r="112" spans="1:10" x14ac:dyDescent="0.25">
      <c r="A112">
        <v>205487</v>
      </c>
      <c r="B112">
        <v>985245</v>
      </c>
      <c r="C112" t="s">
        <v>13</v>
      </c>
      <c r="D112">
        <v>839</v>
      </c>
      <c r="E112">
        <v>4195</v>
      </c>
      <c r="F112">
        <v>2097.5</v>
      </c>
      <c r="G112">
        <v>2097.5</v>
      </c>
      <c r="H112" s="1">
        <v>43419</v>
      </c>
      <c r="I112" s="1">
        <v>43422</v>
      </c>
      <c r="J112">
        <v>3</v>
      </c>
    </row>
    <row r="113" spans="1:10" x14ac:dyDescent="0.25">
      <c r="A113">
        <v>196451</v>
      </c>
      <c r="B113">
        <v>152689</v>
      </c>
      <c r="C113" t="s">
        <v>11</v>
      </c>
      <c r="D113">
        <v>530</v>
      </c>
      <c r="E113">
        <v>2650</v>
      </c>
      <c r="F113">
        <v>1325</v>
      </c>
      <c r="G113">
        <v>1325</v>
      </c>
      <c r="H113" s="1">
        <v>43417</v>
      </c>
      <c r="I113" s="1">
        <v>43422</v>
      </c>
      <c r="J113">
        <v>5</v>
      </c>
    </row>
    <row r="114" spans="1:10" x14ac:dyDescent="0.25">
      <c r="A114">
        <v>796313</v>
      </c>
      <c r="B114">
        <v>152689</v>
      </c>
      <c r="C114" t="s">
        <v>11</v>
      </c>
      <c r="D114">
        <v>324</v>
      </c>
      <c r="E114">
        <v>1620</v>
      </c>
      <c r="F114">
        <v>810</v>
      </c>
      <c r="G114">
        <v>810</v>
      </c>
      <c r="H114" s="1">
        <v>43417</v>
      </c>
      <c r="I114" s="1">
        <v>43422</v>
      </c>
      <c r="J114">
        <v>5</v>
      </c>
    </row>
    <row r="115" spans="1:10" x14ac:dyDescent="0.25">
      <c r="A115">
        <v>412526</v>
      </c>
      <c r="B115">
        <v>325698</v>
      </c>
      <c r="C115" t="s">
        <v>15</v>
      </c>
      <c r="D115">
        <v>295</v>
      </c>
      <c r="E115">
        <v>1475</v>
      </c>
      <c r="F115">
        <v>737.5</v>
      </c>
      <c r="G115">
        <v>737.5</v>
      </c>
      <c r="H115" s="1">
        <v>43419</v>
      </c>
      <c r="I115" s="1">
        <v>43421</v>
      </c>
      <c r="J115">
        <v>2</v>
      </c>
    </row>
    <row r="116" spans="1:10" x14ac:dyDescent="0.25">
      <c r="A116">
        <v>383198</v>
      </c>
      <c r="B116">
        <v>985245</v>
      </c>
      <c r="C116" t="s">
        <v>13</v>
      </c>
      <c r="D116">
        <v>330</v>
      </c>
      <c r="E116">
        <v>1650</v>
      </c>
      <c r="F116">
        <v>825</v>
      </c>
      <c r="G116">
        <v>825</v>
      </c>
      <c r="H116" s="1">
        <v>43418</v>
      </c>
      <c r="I116" s="1">
        <v>43421</v>
      </c>
      <c r="J116">
        <v>3</v>
      </c>
    </row>
    <row r="117" spans="1:10" x14ac:dyDescent="0.25">
      <c r="A117">
        <v>101344</v>
      </c>
      <c r="B117">
        <v>785432</v>
      </c>
      <c r="C117" t="s">
        <v>14</v>
      </c>
      <c r="D117">
        <v>186</v>
      </c>
      <c r="E117">
        <v>930</v>
      </c>
      <c r="F117">
        <v>465</v>
      </c>
      <c r="G117">
        <v>465</v>
      </c>
      <c r="H117" s="1">
        <v>43417</v>
      </c>
      <c r="I117" s="1">
        <v>43421</v>
      </c>
      <c r="J117">
        <v>4</v>
      </c>
    </row>
    <row r="118" spans="1:10" x14ac:dyDescent="0.25">
      <c r="A118">
        <v>875766</v>
      </c>
      <c r="B118">
        <v>985245</v>
      </c>
      <c r="C118" t="s">
        <v>13</v>
      </c>
      <c r="D118">
        <v>527</v>
      </c>
      <c r="E118">
        <v>2635</v>
      </c>
      <c r="F118">
        <v>1317.5</v>
      </c>
      <c r="G118">
        <v>1317.5</v>
      </c>
      <c r="H118" s="1">
        <v>43416</v>
      </c>
      <c r="I118" s="1">
        <v>43420</v>
      </c>
      <c r="J118">
        <v>4</v>
      </c>
    </row>
    <row r="119" spans="1:10" x14ac:dyDescent="0.25">
      <c r="A119">
        <v>822035</v>
      </c>
      <c r="B119">
        <v>325698</v>
      </c>
      <c r="C119" t="s">
        <v>15</v>
      </c>
      <c r="D119">
        <v>968</v>
      </c>
      <c r="E119">
        <v>4840</v>
      </c>
      <c r="F119">
        <v>2420</v>
      </c>
      <c r="G119">
        <v>2420</v>
      </c>
      <c r="H119" s="1">
        <v>43417</v>
      </c>
      <c r="I119" s="1">
        <v>43419</v>
      </c>
      <c r="J119">
        <v>2</v>
      </c>
    </row>
    <row r="120" spans="1:10" x14ac:dyDescent="0.25">
      <c r="A120">
        <v>914010</v>
      </c>
      <c r="B120">
        <v>325698</v>
      </c>
      <c r="C120" t="s">
        <v>15</v>
      </c>
      <c r="D120">
        <v>786</v>
      </c>
      <c r="E120">
        <v>3930</v>
      </c>
      <c r="F120">
        <v>1965</v>
      </c>
      <c r="G120">
        <v>1965</v>
      </c>
      <c r="H120" s="1">
        <v>43417</v>
      </c>
      <c r="I120" s="1">
        <v>43419</v>
      </c>
      <c r="J120">
        <v>2</v>
      </c>
    </row>
    <row r="121" spans="1:10" x14ac:dyDescent="0.25">
      <c r="A121">
        <v>925281</v>
      </c>
      <c r="B121">
        <v>325698</v>
      </c>
      <c r="C121" t="s">
        <v>15</v>
      </c>
      <c r="D121">
        <v>695</v>
      </c>
      <c r="E121">
        <v>3475</v>
      </c>
      <c r="F121">
        <v>1737.5</v>
      </c>
      <c r="G121">
        <v>1737.5</v>
      </c>
      <c r="H121" s="1">
        <v>43416</v>
      </c>
      <c r="I121" s="1">
        <v>43419</v>
      </c>
      <c r="J121">
        <v>3</v>
      </c>
    </row>
    <row r="122" spans="1:10" x14ac:dyDescent="0.25">
      <c r="A122">
        <v>715374</v>
      </c>
      <c r="B122">
        <v>325698</v>
      </c>
      <c r="C122" t="s">
        <v>15</v>
      </c>
      <c r="D122">
        <v>90</v>
      </c>
      <c r="E122">
        <v>450</v>
      </c>
      <c r="F122">
        <v>225</v>
      </c>
      <c r="G122">
        <v>225</v>
      </c>
      <c r="H122" s="1">
        <v>43416</v>
      </c>
      <c r="I122" s="1">
        <v>43418</v>
      </c>
      <c r="J122">
        <v>2</v>
      </c>
    </row>
    <row r="123" spans="1:10" x14ac:dyDescent="0.25">
      <c r="A123">
        <v>550504</v>
      </c>
      <c r="B123">
        <v>325698</v>
      </c>
      <c r="C123" t="s">
        <v>15</v>
      </c>
      <c r="D123">
        <v>677</v>
      </c>
      <c r="E123">
        <v>3385</v>
      </c>
      <c r="F123">
        <v>1692.5</v>
      </c>
      <c r="G123">
        <v>1692.5</v>
      </c>
      <c r="H123" s="1">
        <v>43416</v>
      </c>
      <c r="I123" s="1">
        <v>43418</v>
      </c>
      <c r="J123">
        <v>2</v>
      </c>
    </row>
    <row r="124" spans="1:10" x14ac:dyDescent="0.25">
      <c r="A124">
        <v>837296</v>
      </c>
      <c r="B124">
        <v>452584</v>
      </c>
      <c r="C124" t="s">
        <v>12</v>
      </c>
      <c r="D124">
        <v>160</v>
      </c>
      <c r="E124">
        <v>800</v>
      </c>
      <c r="F124">
        <v>400</v>
      </c>
      <c r="G124">
        <v>400</v>
      </c>
      <c r="H124" s="1">
        <v>43415</v>
      </c>
      <c r="I124" s="1">
        <v>43417</v>
      </c>
      <c r="J124">
        <v>2</v>
      </c>
    </row>
    <row r="125" spans="1:10" x14ac:dyDescent="0.25">
      <c r="A125">
        <v>890392</v>
      </c>
      <c r="B125">
        <v>985245</v>
      </c>
      <c r="C125" t="s">
        <v>13</v>
      </c>
      <c r="D125">
        <v>844</v>
      </c>
      <c r="E125">
        <v>4220</v>
      </c>
      <c r="F125">
        <v>2110</v>
      </c>
      <c r="G125">
        <v>2110</v>
      </c>
      <c r="H125" s="1">
        <v>43413</v>
      </c>
      <c r="I125" s="1">
        <v>43417</v>
      </c>
      <c r="J125">
        <v>4</v>
      </c>
    </row>
    <row r="126" spans="1:10" x14ac:dyDescent="0.25">
      <c r="A126">
        <v>867242</v>
      </c>
      <c r="B126">
        <v>985245</v>
      </c>
      <c r="C126" t="s">
        <v>13</v>
      </c>
      <c r="D126">
        <v>135</v>
      </c>
      <c r="E126">
        <v>675</v>
      </c>
      <c r="F126">
        <v>337.5</v>
      </c>
      <c r="G126">
        <v>337.5</v>
      </c>
      <c r="H126" s="1">
        <v>43413</v>
      </c>
      <c r="I126" s="1">
        <v>43416</v>
      </c>
      <c r="J126">
        <v>3</v>
      </c>
    </row>
    <row r="127" spans="1:10" x14ac:dyDescent="0.25">
      <c r="A127">
        <v>512915</v>
      </c>
      <c r="B127">
        <v>152689</v>
      </c>
      <c r="C127" t="s">
        <v>11</v>
      </c>
      <c r="D127">
        <v>661</v>
      </c>
      <c r="E127">
        <v>3305</v>
      </c>
      <c r="F127">
        <v>1652.5</v>
      </c>
      <c r="G127">
        <v>1652.5</v>
      </c>
      <c r="H127" s="1">
        <v>43411</v>
      </c>
      <c r="I127" s="1">
        <v>43416</v>
      </c>
      <c r="J127">
        <v>5</v>
      </c>
    </row>
    <row r="128" spans="1:10" x14ac:dyDescent="0.25">
      <c r="A128">
        <v>100083</v>
      </c>
      <c r="B128">
        <v>152689</v>
      </c>
      <c r="C128" t="s">
        <v>11</v>
      </c>
      <c r="D128">
        <v>178</v>
      </c>
      <c r="E128">
        <v>890</v>
      </c>
      <c r="F128">
        <v>445</v>
      </c>
      <c r="G128">
        <v>445</v>
      </c>
      <c r="H128" s="1">
        <v>43411</v>
      </c>
      <c r="I128" s="1">
        <v>43416</v>
      </c>
      <c r="J128">
        <v>5</v>
      </c>
    </row>
    <row r="129" spans="1:10" x14ac:dyDescent="0.25">
      <c r="A129">
        <v>442446</v>
      </c>
      <c r="B129">
        <v>325698</v>
      </c>
      <c r="C129" t="s">
        <v>15</v>
      </c>
      <c r="D129">
        <v>84</v>
      </c>
      <c r="E129">
        <v>420</v>
      </c>
      <c r="F129">
        <v>210</v>
      </c>
      <c r="G129">
        <v>210</v>
      </c>
      <c r="H129" s="1">
        <v>43413</v>
      </c>
      <c r="I129" s="1">
        <v>43415</v>
      </c>
      <c r="J129">
        <v>2</v>
      </c>
    </row>
    <row r="130" spans="1:10" x14ac:dyDescent="0.25">
      <c r="A130">
        <v>196123</v>
      </c>
      <c r="B130">
        <v>152689</v>
      </c>
      <c r="C130" t="s">
        <v>11</v>
      </c>
      <c r="D130">
        <v>732</v>
      </c>
      <c r="E130">
        <v>3660</v>
      </c>
      <c r="F130">
        <v>1830</v>
      </c>
      <c r="G130">
        <v>1830</v>
      </c>
      <c r="H130" s="1">
        <v>43410</v>
      </c>
      <c r="I130" s="1">
        <v>43415</v>
      </c>
      <c r="J130">
        <v>5</v>
      </c>
    </row>
    <row r="131" spans="1:10" x14ac:dyDescent="0.25">
      <c r="A131">
        <v>879782</v>
      </c>
      <c r="B131">
        <v>325698</v>
      </c>
      <c r="C131" t="s">
        <v>15</v>
      </c>
      <c r="D131">
        <v>470</v>
      </c>
      <c r="E131">
        <v>2350</v>
      </c>
      <c r="F131">
        <v>1175</v>
      </c>
      <c r="G131">
        <v>1175</v>
      </c>
      <c r="H131" s="1">
        <v>43412</v>
      </c>
      <c r="I131" s="1">
        <v>43414</v>
      </c>
      <c r="J131">
        <v>2</v>
      </c>
    </row>
    <row r="132" spans="1:10" x14ac:dyDescent="0.25">
      <c r="A132">
        <v>751834</v>
      </c>
      <c r="B132">
        <v>325698</v>
      </c>
      <c r="C132" t="s">
        <v>15</v>
      </c>
      <c r="D132">
        <v>862</v>
      </c>
      <c r="E132">
        <v>4310</v>
      </c>
      <c r="F132">
        <v>2155</v>
      </c>
      <c r="G132">
        <v>2155</v>
      </c>
      <c r="H132" s="1">
        <v>43412</v>
      </c>
      <c r="I132" s="1">
        <v>43414</v>
      </c>
      <c r="J132">
        <v>2</v>
      </c>
    </row>
    <row r="133" spans="1:10" x14ac:dyDescent="0.25">
      <c r="A133">
        <v>303174</v>
      </c>
      <c r="B133">
        <v>985245</v>
      </c>
      <c r="C133" t="s">
        <v>13</v>
      </c>
      <c r="D133">
        <v>702</v>
      </c>
      <c r="E133">
        <v>3510</v>
      </c>
      <c r="F133">
        <v>1755</v>
      </c>
      <c r="G133">
        <v>1755</v>
      </c>
      <c r="H133" s="1">
        <v>43410</v>
      </c>
      <c r="I133" s="1">
        <v>43414</v>
      </c>
      <c r="J133">
        <v>4</v>
      </c>
    </row>
    <row r="134" spans="1:10" x14ac:dyDescent="0.25">
      <c r="A134">
        <v>857256</v>
      </c>
      <c r="B134">
        <v>785432</v>
      </c>
      <c r="C134" t="s">
        <v>14</v>
      </c>
      <c r="D134">
        <v>588</v>
      </c>
      <c r="E134">
        <v>2940</v>
      </c>
      <c r="F134">
        <v>1470</v>
      </c>
      <c r="G134">
        <v>1470</v>
      </c>
      <c r="H134" s="1">
        <v>43410</v>
      </c>
      <c r="I134" s="1">
        <v>43414</v>
      </c>
      <c r="J134">
        <v>4</v>
      </c>
    </row>
    <row r="135" spans="1:10" x14ac:dyDescent="0.25">
      <c r="A135">
        <v>597562</v>
      </c>
      <c r="B135">
        <v>985245</v>
      </c>
      <c r="C135" t="s">
        <v>13</v>
      </c>
      <c r="D135">
        <v>66</v>
      </c>
      <c r="E135">
        <v>330</v>
      </c>
      <c r="F135">
        <v>165</v>
      </c>
      <c r="G135">
        <v>165</v>
      </c>
      <c r="H135" s="1">
        <v>43409</v>
      </c>
      <c r="I135" s="1">
        <v>43413</v>
      </c>
      <c r="J135">
        <v>4</v>
      </c>
    </row>
    <row r="136" spans="1:10" x14ac:dyDescent="0.25">
      <c r="A136">
        <v>514876</v>
      </c>
      <c r="B136">
        <v>325698</v>
      </c>
      <c r="C136" t="s">
        <v>15</v>
      </c>
      <c r="D136">
        <v>718</v>
      </c>
      <c r="E136">
        <v>3590</v>
      </c>
      <c r="F136">
        <v>1795</v>
      </c>
      <c r="G136">
        <v>1795</v>
      </c>
      <c r="H136" s="1">
        <v>43410</v>
      </c>
      <c r="I136" s="1">
        <v>43412</v>
      </c>
      <c r="J136">
        <v>2</v>
      </c>
    </row>
    <row r="137" spans="1:10" x14ac:dyDescent="0.25">
      <c r="A137">
        <v>356954</v>
      </c>
      <c r="B137">
        <v>325698</v>
      </c>
      <c r="C137" t="s">
        <v>15</v>
      </c>
      <c r="D137">
        <v>638</v>
      </c>
      <c r="E137">
        <v>3190</v>
      </c>
      <c r="F137">
        <v>1595</v>
      </c>
      <c r="G137">
        <v>1595</v>
      </c>
      <c r="H137" s="1">
        <v>43410</v>
      </c>
      <c r="I137" s="1">
        <v>43412</v>
      </c>
      <c r="J137">
        <v>2</v>
      </c>
    </row>
    <row r="138" spans="1:10" x14ac:dyDescent="0.25">
      <c r="A138">
        <v>351554</v>
      </c>
      <c r="B138">
        <v>985245</v>
      </c>
      <c r="C138" t="s">
        <v>13</v>
      </c>
      <c r="D138">
        <v>320</v>
      </c>
      <c r="E138">
        <v>1600</v>
      </c>
      <c r="F138">
        <v>800</v>
      </c>
      <c r="G138">
        <v>800</v>
      </c>
      <c r="H138" s="1">
        <v>43409</v>
      </c>
      <c r="I138" s="1">
        <v>43412</v>
      </c>
      <c r="J138">
        <v>3</v>
      </c>
    </row>
    <row r="139" spans="1:10" x14ac:dyDescent="0.25">
      <c r="A139">
        <v>927084</v>
      </c>
      <c r="B139">
        <v>152689</v>
      </c>
      <c r="C139" t="s">
        <v>11</v>
      </c>
      <c r="D139">
        <v>806</v>
      </c>
      <c r="E139">
        <v>4030</v>
      </c>
      <c r="F139">
        <v>2015</v>
      </c>
      <c r="G139">
        <v>2015</v>
      </c>
      <c r="H139" s="1">
        <v>43407</v>
      </c>
      <c r="I139" s="1">
        <v>43412</v>
      </c>
      <c r="J139">
        <v>5</v>
      </c>
    </row>
    <row r="140" spans="1:10" x14ac:dyDescent="0.25">
      <c r="A140">
        <v>556449</v>
      </c>
      <c r="B140">
        <v>325698</v>
      </c>
      <c r="C140" t="s">
        <v>15</v>
      </c>
      <c r="D140">
        <v>535</v>
      </c>
      <c r="E140">
        <v>2675</v>
      </c>
      <c r="F140">
        <v>1337.5</v>
      </c>
      <c r="G140">
        <v>1337.5</v>
      </c>
      <c r="H140" s="1">
        <v>43409</v>
      </c>
      <c r="I140" s="1">
        <v>43411</v>
      </c>
      <c r="J140">
        <v>2</v>
      </c>
    </row>
    <row r="141" spans="1:10" x14ac:dyDescent="0.25">
      <c r="A141">
        <v>706671</v>
      </c>
      <c r="B141">
        <v>325698</v>
      </c>
      <c r="C141" t="s">
        <v>15</v>
      </c>
      <c r="D141">
        <v>770</v>
      </c>
      <c r="E141">
        <v>3850</v>
      </c>
      <c r="F141">
        <v>1925</v>
      </c>
      <c r="G141">
        <v>1925</v>
      </c>
      <c r="H141" s="1">
        <v>43409</v>
      </c>
      <c r="I141" s="1">
        <v>43411</v>
      </c>
      <c r="J141">
        <v>2</v>
      </c>
    </row>
    <row r="142" spans="1:10" x14ac:dyDescent="0.25">
      <c r="A142">
        <v>214620</v>
      </c>
      <c r="B142">
        <v>325698</v>
      </c>
      <c r="C142" t="s">
        <v>15</v>
      </c>
      <c r="D142">
        <v>248</v>
      </c>
      <c r="E142">
        <v>1240</v>
      </c>
      <c r="F142">
        <v>620</v>
      </c>
      <c r="G142">
        <v>620</v>
      </c>
      <c r="H142" s="1">
        <v>43409</v>
      </c>
      <c r="I142" s="1">
        <v>43411</v>
      </c>
      <c r="J142">
        <v>2</v>
      </c>
    </row>
    <row r="143" spans="1:10" x14ac:dyDescent="0.25">
      <c r="A143">
        <v>183463</v>
      </c>
      <c r="B143">
        <v>985245</v>
      </c>
      <c r="C143" t="s">
        <v>13</v>
      </c>
      <c r="D143">
        <v>318</v>
      </c>
      <c r="E143">
        <v>1590</v>
      </c>
      <c r="F143">
        <v>795</v>
      </c>
      <c r="G143">
        <v>795</v>
      </c>
      <c r="H143" s="1">
        <v>43407</v>
      </c>
      <c r="I143" s="1">
        <v>43411</v>
      </c>
      <c r="J143">
        <v>4</v>
      </c>
    </row>
    <row r="144" spans="1:10" x14ac:dyDescent="0.25">
      <c r="A144">
        <v>816736</v>
      </c>
      <c r="B144">
        <v>785432</v>
      </c>
      <c r="C144" t="s">
        <v>14</v>
      </c>
      <c r="D144">
        <v>653</v>
      </c>
      <c r="E144">
        <v>3265</v>
      </c>
      <c r="F144">
        <v>1632.5</v>
      </c>
      <c r="G144">
        <v>1632.5</v>
      </c>
      <c r="H144" s="1">
        <v>43407</v>
      </c>
      <c r="I144" s="1">
        <v>43411</v>
      </c>
      <c r="J144">
        <v>4</v>
      </c>
    </row>
    <row r="145" spans="1:10" x14ac:dyDescent="0.25">
      <c r="A145">
        <v>453292</v>
      </c>
      <c r="B145">
        <v>152689</v>
      </c>
      <c r="C145" t="s">
        <v>11</v>
      </c>
      <c r="D145">
        <v>557</v>
      </c>
      <c r="E145">
        <v>2785</v>
      </c>
      <c r="F145">
        <v>1392.5</v>
      </c>
      <c r="G145">
        <v>1392.5</v>
      </c>
      <c r="H145" s="1">
        <v>43406</v>
      </c>
      <c r="I145" s="1">
        <v>43411</v>
      </c>
      <c r="J145">
        <v>5</v>
      </c>
    </row>
    <row r="146" spans="1:10" x14ac:dyDescent="0.25">
      <c r="A146">
        <v>283666</v>
      </c>
      <c r="B146">
        <v>985245</v>
      </c>
      <c r="C146" t="s">
        <v>13</v>
      </c>
      <c r="D146">
        <v>819</v>
      </c>
      <c r="E146">
        <v>4095</v>
      </c>
      <c r="F146">
        <v>2047.5</v>
      </c>
      <c r="G146">
        <v>2047.5</v>
      </c>
      <c r="H146" s="1">
        <v>43405</v>
      </c>
      <c r="I146" s="1">
        <v>43409</v>
      </c>
      <c r="J146">
        <v>4</v>
      </c>
    </row>
    <row r="147" spans="1:10" x14ac:dyDescent="0.25">
      <c r="A147">
        <v>400637</v>
      </c>
      <c r="B147">
        <v>985245</v>
      </c>
      <c r="C147" t="s">
        <v>13</v>
      </c>
      <c r="D147">
        <v>519</v>
      </c>
      <c r="E147">
        <v>2595</v>
      </c>
      <c r="F147">
        <v>1297.5</v>
      </c>
      <c r="G147">
        <v>1297.5</v>
      </c>
      <c r="H147" s="1">
        <v>43404</v>
      </c>
      <c r="I147" s="1">
        <v>43408</v>
      </c>
      <c r="J147">
        <v>4</v>
      </c>
    </row>
    <row r="148" spans="1:10" x14ac:dyDescent="0.25">
      <c r="A148">
        <v>777049</v>
      </c>
      <c r="B148">
        <v>152689</v>
      </c>
      <c r="C148" t="s">
        <v>11</v>
      </c>
      <c r="D148">
        <v>791</v>
      </c>
      <c r="E148">
        <v>3955</v>
      </c>
      <c r="F148">
        <v>1977.5</v>
      </c>
      <c r="G148">
        <v>1977.5</v>
      </c>
      <c r="H148" s="1">
        <v>43403</v>
      </c>
      <c r="I148" s="1">
        <v>43408</v>
      </c>
      <c r="J148">
        <v>5</v>
      </c>
    </row>
    <row r="149" spans="1:10" x14ac:dyDescent="0.25">
      <c r="A149">
        <v>443749</v>
      </c>
      <c r="B149">
        <v>152689</v>
      </c>
      <c r="C149" t="s">
        <v>11</v>
      </c>
      <c r="D149">
        <v>500</v>
      </c>
      <c r="E149">
        <v>2500</v>
      </c>
      <c r="F149">
        <v>1250</v>
      </c>
      <c r="G149">
        <v>1250</v>
      </c>
      <c r="H149" s="1">
        <v>43403</v>
      </c>
      <c r="I149" s="1">
        <v>43408</v>
      </c>
      <c r="J149">
        <v>5</v>
      </c>
    </row>
    <row r="150" spans="1:10" x14ac:dyDescent="0.25">
      <c r="A150">
        <v>508614</v>
      </c>
      <c r="B150">
        <v>152689</v>
      </c>
      <c r="C150" t="s">
        <v>11</v>
      </c>
      <c r="D150">
        <v>55</v>
      </c>
      <c r="E150">
        <v>275</v>
      </c>
      <c r="F150">
        <v>137.5</v>
      </c>
      <c r="G150">
        <v>137.5</v>
      </c>
      <c r="H150" s="1">
        <v>43403</v>
      </c>
      <c r="I150" s="1">
        <v>43408</v>
      </c>
      <c r="J150">
        <v>5</v>
      </c>
    </row>
    <row r="151" spans="1:10" x14ac:dyDescent="0.25">
      <c r="A151">
        <v>966987</v>
      </c>
      <c r="B151">
        <v>325698</v>
      </c>
      <c r="C151" t="s">
        <v>15</v>
      </c>
      <c r="D151">
        <v>697</v>
      </c>
      <c r="E151">
        <v>3485</v>
      </c>
      <c r="F151">
        <v>1742.5</v>
      </c>
      <c r="G151">
        <v>1742.5</v>
      </c>
      <c r="H151" s="1">
        <v>43405</v>
      </c>
      <c r="I151" s="1">
        <v>43407</v>
      </c>
      <c r="J151">
        <v>2</v>
      </c>
    </row>
    <row r="152" spans="1:10" x14ac:dyDescent="0.25">
      <c r="A152">
        <v>280061</v>
      </c>
      <c r="B152">
        <v>325698</v>
      </c>
      <c r="C152" t="s">
        <v>15</v>
      </c>
      <c r="D152">
        <v>552</v>
      </c>
      <c r="E152">
        <v>2760</v>
      </c>
      <c r="F152">
        <v>1380</v>
      </c>
      <c r="G152">
        <v>1380</v>
      </c>
      <c r="H152" s="1">
        <v>43404</v>
      </c>
      <c r="I152" s="1">
        <v>43407</v>
      </c>
      <c r="J152">
        <v>3</v>
      </c>
    </row>
    <row r="153" spans="1:10" x14ac:dyDescent="0.25">
      <c r="A153">
        <v>562031</v>
      </c>
      <c r="B153">
        <v>152689</v>
      </c>
      <c r="C153" t="s">
        <v>11</v>
      </c>
      <c r="D153">
        <v>111</v>
      </c>
      <c r="E153">
        <v>555</v>
      </c>
      <c r="F153">
        <v>277.5</v>
      </c>
      <c r="G153">
        <v>277.5</v>
      </c>
      <c r="H153" s="1">
        <v>43402</v>
      </c>
      <c r="I153" s="1">
        <v>43407</v>
      </c>
      <c r="J153">
        <v>5</v>
      </c>
    </row>
    <row r="154" spans="1:10" x14ac:dyDescent="0.25">
      <c r="A154">
        <v>488358</v>
      </c>
      <c r="B154">
        <v>325698</v>
      </c>
      <c r="C154" t="s">
        <v>15</v>
      </c>
      <c r="D154">
        <v>999</v>
      </c>
      <c r="E154">
        <v>4995</v>
      </c>
      <c r="F154">
        <v>2497.5</v>
      </c>
      <c r="G154">
        <v>2497.5</v>
      </c>
      <c r="H154" s="1">
        <v>43404</v>
      </c>
      <c r="I154" s="1">
        <v>43406</v>
      </c>
      <c r="J154">
        <v>2</v>
      </c>
    </row>
    <row r="155" spans="1:10" x14ac:dyDescent="0.25">
      <c r="A155">
        <v>461601</v>
      </c>
      <c r="B155">
        <v>325698</v>
      </c>
      <c r="C155" t="s">
        <v>15</v>
      </c>
      <c r="D155">
        <v>708</v>
      </c>
      <c r="E155">
        <v>3540</v>
      </c>
      <c r="F155">
        <v>1770</v>
      </c>
      <c r="G155">
        <v>1770</v>
      </c>
      <c r="H155" s="1">
        <v>43404</v>
      </c>
      <c r="I155" s="1">
        <v>43406</v>
      </c>
      <c r="J155">
        <v>2</v>
      </c>
    </row>
    <row r="156" spans="1:10" x14ac:dyDescent="0.25">
      <c r="A156">
        <v>388110</v>
      </c>
      <c r="B156">
        <v>325698</v>
      </c>
      <c r="C156" t="s">
        <v>15</v>
      </c>
      <c r="D156">
        <v>641</v>
      </c>
      <c r="E156">
        <v>3205</v>
      </c>
      <c r="F156">
        <v>1602.5</v>
      </c>
      <c r="G156">
        <v>1602.5</v>
      </c>
      <c r="H156" s="1">
        <v>43403</v>
      </c>
      <c r="I156" s="1">
        <v>43406</v>
      </c>
      <c r="J156">
        <v>3</v>
      </c>
    </row>
    <row r="157" spans="1:10" x14ac:dyDescent="0.25">
      <c r="A157">
        <v>976472</v>
      </c>
      <c r="B157">
        <v>985245</v>
      </c>
      <c r="C157" t="s">
        <v>13</v>
      </c>
      <c r="D157">
        <v>125</v>
      </c>
      <c r="E157">
        <v>625</v>
      </c>
      <c r="F157">
        <v>312.5</v>
      </c>
      <c r="G157">
        <v>312.5</v>
      </c>
      <c r="H157" s="1">
        <v>43400</v>
      </c>
      <c r="I157" s="1">
        <v>43403</v>
      </c>
      <c r="J157">
        <v>3</v>
      </c>
    </row>
    <row r="158" spans="1:10" x14ac:dyDescent="0.25">
      <c r="A158">
        <v>610579</v>
      </c>
      <c r="B158">
        <v>152689</v>
      </c>
      <c r="C158" t="s">
        <v>11</v>
      </c>
      <c r="D158">
        <v>307</v>
      </c>
      <c r="E158">
        <v>1535</v>
      </c>
      <c r="F158">
        <v>767.5</v>
      </c>
      <c r="G158">
        <v>767.5</v>
      </c>
      <c r="H158" s="1">
        <v>43398</v>
      </c>
      <c r="I158" s="1">
        <v>43403</v>
      </c>
      <c r="J158">
        <v>5</v>
      </c>
    </row>
    <row r="159" spans="1:10" x14ac:dyDescent="0.25">
      <c r="A159">
        <v>699931</v>
      </c>
      <c r="B159">
        <v>325698</v>
      </c>
      <c r="C159" t="s">
        <v>15</v>
      </c>
      <c r="D159">
        <v>725</v>
      </c>
      <c r="E159">
        <v>3625</v>
      </c>
      <c r="F159">
        <v>1812.5</v>
      </c>
      <c r="G159">
        <v>1812.5</v>
      </c>
      <c r="H159" s="1">
        <v>43400</v>
      </c>
      <c r="I159" s="1">
        <v>43402</v>
      </c>
      <c r="J159">
        <v>2</v>
      </c>
    </row>
    <row r="160" spans="1:10" x14ac:dyDescent="0.25">
      <c r="A160">
        <v>360628</v>
      </c>
      <c r="B160">
        <v>985245</v>
      </c>
      <c r="C160" t="s">
        <v>13</v>
      </c>
      <c r="D160">
        <v>106</v>
      </c>
      <c r="E160">
        <v>530</v>
      </c>
      <c r="F160">
        <v>265</v>
      </c>
      <c r="G160">
        <v>265</v>
      </c>
      <c r="H160" s="1">
        <v>43398</v>
      </c>
      <c r="I160" s="1">
        <v>43402</v>
      </c>
      <c r="J160">
        <v>4</v>
      </c>
    </row>
    <row r="161" spans="1:10" x14ac:dyDescent="0.25">
      <c r="A161">
        <v>249683</v>
      </c>
      <c r="B161">
        <v>985245</v>
      </c>
      <c r="C161" t="s">
        <v>13</v>
      </c>
      <c r="D161">
        <v>107</v>
      </c>
      <c r="E161">
        <v>535</v>
      </c>
      <c r="F161">
        <v>267.5</v>
      </c>
      <c r="G161">
        <v>267.5</v>
      </c>
      <c r="H161" s="1">
        <v>43398</v>
      </c>
      <c r="I161" s="1">
        <v>43402</v>
      </c>
      <c r="J161">
        <v>4</v>
      </c>
    </row>
    <row r="162" spans="1:10" x14ac:dyDescent="0.25">
      <c r="A162">
        <v>520080</v>
      </c>
      <c r="B162">
        <v>985245</v>
      </c>
      <c r="C162" t="s">
        <v>13</v>
      </c>
      <c r="D162">
        <v>188</v>
      </c>
      <c r="E162">
        <v>940</v>
      </c>
      <c r="F162">
        <v>470</v>
      </c>
      <c r="G162">
        <v>470</v>
      </c>
      <c r="H162" s="1">
        <v>43398</v>
      </c>
      <c r="I162" s="1">
        <v>43402</v>
      </c>
      <c r="J162">
        <v>4</v>
      </c>
    </row>
    <row r="163" spans="1:10" x14ac:dyDescent="0.25">
      <c r="A163">
        <v>672323</v>
      </c>
      <c r="B163">
        <v>985245</v>
      </c>
      <c r="C163" t="s">
        <v>13</v>
      </c>
      <c r="D163">
        <v>506</v>
      </c>
      <c r="E163">
        <v>2530</v>
      </c>
      <c r="F163">
        <v>1265</v>
      </c>
      <c r="G163">
        <v>1265</v>
      </c>
      <c r="H163" s="1">
        <v>43398</v>
      </c>
      <c r="I163" s="1">
        <v>43402</v>
      </c>
      <c r="J163">
        <v>4</v>
      </c>
    </row>
    <row r="164" spans="1:10" x14ac:dyDescent="0.25">
      <c r="A164">
        <v>744485</v>
      </c>
      <c r="B164">
        <v>985245</v>
      </c>
      <c r="C164" t="s">
        <v>13</v>
      </c>
      <c r="D164">
        <v>762</v>
      </c>
      <c r="E164">
        <v>3810</v>
      </c>
      <c r="F164">
        <v>1905</v>
      </c>
      <c r="G164">
        <v>1905</v>
      </c>
      <c r="H164" s="1">
        <v>43398</v>
      </c>
      <c r="I164" s="1">
        <v>43402</v>
      </c>
      <c r="J164">
        <v>4</v>
      </c>
    </row>
    <row r="165" spans="1:10" x14ac:dyDescent="0.25">
      <c r="A165">
        <v>396700</v>
      </c>
      <c r="B165">
        <v>152689</v>
      </c>
      <c r="C165" t="s">
        <v>11</v>
      </c>
      <c r="D165">
        <v>782</v>
      </c>
      <c r="E165">
        <v>3910</v>
      </c>
      <c r="F165">
        <v>1955</v>
      </c>
      <c r="G165">
        <v>1955</v>
      </c>
      <c r="H165" s="1">
        <v>43397</v>
      </c>
      <c r="I165" s="1">
        <v>43402</v>
      </c>
      <c r="J165">
        <v>5</v>
      </c>
    </row>
    <row r="166" spans="1:10" x14ac:dyDescent="0.25">
      <c r="A166">
        <v>880898</v>
      </c>
      <c r="B166">
        <v>452584</v>
      </c>
      <c r="C166" t="s">
        <v>12</v>
      </c>
      <c r="D166">
        <v>652</v>
      </c>
      <c r="E166">
        <v>3260</v>
      </c>
      <c r="F166">
        <v>1630</v>
      </c>
      <c r="G166">
        <v>1630</v>
      </c>
      <c r="H166" s="1">
        <v>43398</v>
      </c>
      <c r="I166" s="1">
        <v>43400</v>
      </c>
      <c r="J166">
        <v>2</v>
      </c>
    </row>
    <row r="167" spans="1:10" x14ac:dyDescent="0.25">
      <c r="A167">
        <v>609296</v>
      </c>
      <c r="B167">
        <v>325698</v>
      </c>
      <c r="C167" t="s">
        <v>15</v>
      </c>
      <c r="D167">
        <v>691</v>
      </c>
      <c r="E167">
        <v>3455</v>
      </c>
      <c r="F167">
        <v>1727.5</v>
      </c>
      <c r="G167">
        <v>1727.5</v>
      </c>
      <c r="H167" s="1">
        <v>43397</v>
      </c>
      <c r="I167" s="1">
        <v>43400</v>
      </c>
      <c r="J167">
        <v>3</v>
      </c>
    </row>
    <row r="168" spans="1:10" x14ac:dyDescent="0.25">
      <c r="A168">
        <v>839911</v>
      </c>
      <c r="B168">
        <v>325698</v>
      </c>
      <c r="C168" t="s">
        <v>15</v>
      </c>
      <c r="D168">
        <v>575</v>
      </c>
      <c r="E168">
        <v>2875</v>
      </c>
      <c r="F168">
        <v>1437.5</v>
      </c>
      <c r="G168">
        <v>1437.5</v>
      </c>
      <c r="H168" s="1">
        <v>43397</v>
      </c>
      <c r="I168" s="1">
        <v>43400</v>
      </c>
      <c r="J168">
        <v>3</v>
      </c>
    </row>
    <row r="169" spans="1:10" x14ac:dyDescent="0.25">
      <c r="A169">
        <v>867588</v>
      </c>
      <c r="B169">
        <v>152689</v>
      </c>
      <c r="C169" t="s">
        <v>11</v>
      </c>
      <c r="D169">
        <v>188</v>
      </c>
      <c r="E169">
        <v>940</v>
      </c>
      <c r="F169">
        <v>470</v>
      </c>
      <c r="G169">
        <v>470</v>
      </c>
      <c r="H169" s="1">
        <v>43395</v>
      </c>
      <c r="I169" s="1">
        <v>43400</v>
      </c>
      <c r="J169">
        <v>5</v>
      </c>
    </row>
    <row r="170" spans="1:10" x14ac:dyDescent="0.25">
      <c r="A170">
        <v>487829</v>
      </c>
      <c r="B170">
        <v>325698</v>
      </c>
      <c r="C170" t="s">
        <v>15</v>
      </c>
      <c r="D170">
        <v>907</v>
      </c>
      <c r="E170">
        <v>4535</v>
      </c>
      <c r="F170">
        <v>2267.5</v>
      </c>
      <c r="G170">
        <v>2267.5</v>
      </c>
      <c r="H170" s="1">
        <v>43397</v>
      </c>
      <c r="I170" s="1">
        <v>43399</v>
      </c>
      <c r="J170">
        <v>2</v>
      </c>
    </row>
    <row r="171" spans="1:10" x14ac:dyDescent="0.25">
      <c r="A171">
        <v>951981</v>
      </c>
      <c r="B171">
        <v>985245</v>
      </c>
      <c r="C171" t="s">
        <v>13</v>
      </c>
      <c r="D171">
        <v>894</v>
      </c>
      <c r="E171">
        <v>4470</v>
      </c>
      <c r="F171">
        <v>2235</v>
      </c>
      <c r="G171">
        <v>2235</v>
      </c>
      <c r="H171" s="1">
        <v>43396</v>
      </c>
      <c r="I171" s="1">
        <v>43399</v>
      </c>
      <c r="J171">
        <v>3</v>
      </c>
    </row>
    <row r="172" spans="1:10" x14ac:dyDescent="0.25">
      <c r="A172">
        <v>648302</v>
      </c>
      <c r="B172">
        <v>785432</v>
      </c>
      <c r="C172" t="s">
        <v>14</v>
      </c>
      <c r="D172">
        <v>734</v>
      </c>
      <c r="E172">
        <v>3670</v>
      </c>
      <c r="F172">
        <v>1835</v>
      </c>
      <c r="G172">
        <v>1835</v>
      </c>
      <c r="H172" s="1">
        <v>43395</v>
      </c>
      <c r="I172" s="1">
        <v>43399</v>
      </c>
      <c r="J172">
        <v>4</v>
      </c>
    </row>
    <row r="173" spans="1:10" x14ac:dyDescent="0.25">
      <c r="A173">
        <v>835302</v>
      </c>
      <c r="B173">
        <v>985245</v>
      </c>
      <c r="C173" t="s">
        <v>13</v>
      </c>
      <c r="D173">
        <v>698</v>
      </c>
      <c r="E173">
        <v>3490</v>
      </c>
      <c r="F173">
        <v>1745</v>
      </c>
      <c r="G173">
        <v>1745</v>
      </c>
      <c r="H173" s="1">
        <v>43395</v>
      </c>
      <c r="I173" s="1">
        <v>43398</v>
      </c>
      <c r="J173">
        <v>3</v>
      </c>
    </row>
    <row r="174" spans="1:10" x14ac:dyDescent="0.25">
      <c r="A174">
        <v>336881</v>
      </c>
      <c r="B174">
        <v>152689</v>
      </c>
      <c r="C174" t="s">
        <v>11</v>
      </c>
      <c r="D174">
        <v>766</v>
      </c>
      <c r="E174">
        <v>3830</v>
      </c>
      <c r="F174">
        <v>1915</v>
      </c>
      <c r="G174">
        <v>1915</v>
      </c>
      <c r="H174" s="1">
        <v>43393</v>
      </c>
      <c r="I174" s="1">
        <v>43398</v>
      </c>
      <c r="J174">
        <v>5</v>
      </c>
    </row>
    <row r="175" spans="1:10" x14ac:dyDescent="0.25">
      <c r="A175">
        <v>233104</v>
      </c>
      <c r="B175">
        <v>985245</v>
      </c>
      <c r="C175" t="s">
        <v>13</v>
      </c>
      <c r="D175">
        <v>616</v>
      </c>
      <c r="E175">
        <v>3080</v>
      </c>
      <c r="F175">
        <v>1540</v>
      </c>
      <c r="G175">
        <v>1540</v>
      </c>
      <c r="H175" s="1">
        <v>43393</v>
      </c>
      <c r="I175" s="1">
        <v>43397</v>
      </c>
      <c r="J175">
        <v>4</v>
      </c>
    </row>
    <row r="176" spans="1:10" x14ac:dyDescent="0.25">
      <c r="A176">
        <v>963657</v>
      </c>
      <c r="B176">
        <v>985245</v>
      </c>
      <c r="C176" t="s">
        <v>13</v>
      </c>
      <c r="D176">
        <v>340</v>
      </c>
      <c r="E176">
        <v>1700</v>
      </c>
      <c r="F176">
        <v>850</v>
      </c>
      <c r="G176">
        <v>850</v>
      </c>
      <c r="H176" s="1">
        <v>43393</v>
      </c>
      <c r="I176" s="1">
        <v>43396</v>
      </c>
      <c r="J176">
        <v>3</v>
      </c>
    </row>
    <row r="177" spans="1:10" x14ac:dyDescent="0.25">
      <c r="A177">
        <v>393084</v>
      </c>
      <c r="B177">
        <v>985245</v>
      </c>
      <c r="C177" t="s">
        <v>13</v>
      </c>
      <c r="D177">
        <v>333</v>
      </c>
      <c r="E177">
        <v>1665</v>
      </c>
      <c r="F177">
        <v>832.5</v>
      </c>
      <c r="G177">
        <v>832.5</v>
      </c>
      <c r="H177" s="1">
        <v>43393</v>
      </c>
      <c r="I177" s="1">
        <v>43396</v>
      </c>
      <c r="J177">
        <v>3</v>
      </c>
    </row>
    <row r="178" spans="1:10" x14ac:dyDescent="0.25">
      <c r="A178">
        <v>278993</v>
      </c>
      <c r="B178">
        <v>785432</v>
      </c>
      <c r="C178" t="s">
        <v>14</v>
      </c>
      <c r="D178">
        <v>867</v>
      </c>
      <c r="E178">
        <v>4335</v>
      </c>
      <c r="F178">
        <v>2167.5</v>
      </c>
      <c r="G178">
        <v>2167.5</v>
      </c>
      <c r="H178" s="1">
        <v>43391</v>
      </c>
      <c r="I178" s="1">
        <v>43396</v>
      </c>
      <c r="J178">
        <v>5</v>
      </c>
    </row>
    <row r="179" spans="1:10" x14ac:dyDescent="0.25">
      <c r="A179">
        <v>671486</v>
      </c>
      <c r="B179">
        <v>325698</v>
      </c>
      <c r="C179" t="s">
        <v>15</v>
      </c>
      <c r="D179">
        <v>418</v>
      </c>
      <c r="E179">
        <v>2090</v>
      </c>
      <c r="F179">
        <v>1045</v>
      </c>
      <c r="G179">
        <v>1045</v>
      </c>
      <c r="H179" s="1">
        <v>43392</v>
      </c>
      <c r="I179" s="1">
        <v>43395</v>
      </c>
      <c r="J179">
        <v>3</v>
      </c>
    </row>
    <row r="180" spans="1:10" x14ac:dyDescent="0.25">
      <c r="A180">
        <v>886782</v>
      </c>
      <c r="B180">
        <v>985245</v>
      </c>
      <c r="C180" t="s">
        <v>13</v>
      </c>
      <c r="D180">
        <v>315</v>
      </c>
      <c r="E180">
        <v>1575</v>
      </c>
      <c r="F180">
        <v>787.5</v>
      </c>
      <c r="G180">
        <v>787.5</v>
      </c>
      <c r="H180" s="1">
        <v>43392</v>
      </c>
      <c r="I180" s="1">
        <v>43395</v>
      </c>
      <c r="J180">
        <v>3</v>
      </c>
    </row>
    <row r="181" spans="1:10" x14ac:dyDescent="0.25">
      <c r="A181">
        <v>286172</v>
      </c>
      <c r="B181">
        <v>985245</v>
      </c>
      <c r="C181" t="s">
        <v>13</v>
      </c>
      <c r="D181">
        <v>86</v>
      </c>
      <c r="E181">
        <v>430</v>
      </c>
      <c r="F181">
        <v>215</v>
      </c>
      <c r="G181">
        <v>215</v>
      </c>
      <c r="H181" s="1">
        <v>43392</v>
      </c>
      <c r="I181" s="1">
        <v>43395</v>
      </c>
      <c r="J181">
        <v>3</v>
      </c>
    </row>
    <row r="182" spans="1:10" x14ac:dyDescent="0.25">
      <c r="A182">
        <v>487988</v>
      </c>
      <c r="B182">
        <v>452584</v>
      </c>
      <c r="C182" t="s">
        <v>12</v>
      </c>
      <c r="D182">
        <v>324</v>
      </c>
      <c r="E182">
        <v>1620</v>
      </c>
      <c r="F182">
        <v>810</v>
      </c>
      <c r="G182">
        <v>810</v>
      </c>
      <c r="H182" s="1">
        <v>43392</v>
      </c>
      <c r="I182" s="1">
        <v>43394</v>
      </c>
      <c r="J182">
        <v>2</v>
      </c>
    </row>
    <row r="183" spans="1:10" x14ac:dyDescent="0.25">
      <c r="A183">
        <v>285862</v>
      </c>
      <c r="B183">
        <v>985245</v>
      </c>
      <c r="C183" t="s">
        <v>13</v>
      </c>
      <c r="D183">
        <v>369</v>
      </c>
      <c r="E183">
        <v>1845</v>
      </c>
      <c r="F183">
        <v>922.5</v>
      </c>
      <c r="G183">
        <v>922.5</v>
      </c>
      <c r="H183" s="1">
        <v>43390</v>
      </c>
      <c r="I183" s="1">
        <v>43394</v>
      </c>
      <c r="J183">
        <v>4</v>
      </c>
    </row>
    <row r="184" spans="1:10" x14ac:dyDescent="0.25">
      <c r="A184">
        <v>245347</v>
      </c>
      <c r="B184">
        <v>152689</v>
      </c>
      <c r="C184" t="s">
        <v>11</v>
      </c>
      <c r="D184">
        <v>900</v>
      </c>
      <c r="E184">
        <v>4500</v>
      </c>
      <c r="F184">
        <v>2250</v>
      </c>
      <c r="G184">
        <v>2250</v>
      </c>
      <c r="H184" s="1">
        <v>43389</v>
      </c>
      <c r="I184" s="1">
        <v>43394</v>
      </c>
      <c r="J184">
        <v>5</v>
      </c>
    </row>
    <row r="185" spans="1:10" x14ac:dyDescent="0.25">
      <c r="A185">
        <v>851281</v>
      </c>
      <c r="B185">
        <v>985245</v>
      </c>
      <c r="C185" t="s">
        <v>13</v>
      </c>
      <c r="D185">
        <v>656</v>
      </c>
      <c r="E185">
        <v>3280</v>
      </c>
      <c r="F185">
        <v>1640</v>
      </c>
      <c r="G185">
        <v>1640</v>
      </c>
      <c r="H185" s="1">
        <v>43388</v>
      </c>
      <c r="I185" s="1">
        <v>43392</v>
      </c>
      <c r="J185">
        <v>4</v>
      </c>
    </row>
    <row r="186" spans="1:10" x14ac:dyDescent="0.25">
      <c r="A186">
        <v>293571</v>
      </c>
      <c r="B186">
        <v>152689</v>
      </c>
      <c r="C186" t="s">
        <v>11</v>
      </c>
      <c r="D186">
        <v>570</v>
      </c>
      <c r="E186">
        <v>2850</v>
      </c>
      <c r="F186">
        <v>1425</v>
      </c>
      <c r="G186">
        <v>1425</v>
      </c>
      <c r="H186" s="1">
        <v>43387</v>
      </c>
      <c r="I186" s="1">
        <v>43392</v>
      </c>
      <c r="J186">
        <v>5</v>
      </c>
    </row>
    <row r="187" spans="1:10" x14ac:dyDescent="0.25">
      <c r="A187">
        <v>201583</v>
      </c>
      <c r="B187">
        <v>985245</v>
      </c>
      <c r="C187" t="s">
        <v>13</v>
      </c>
      <c r="D187">
        <v>373</v>
      </c>
      <c r="E187">
        <v>1865</v>
      </c>
      <c r="F187">
        <v>932.5</v>
      </c>
      <c r="G187">
        <v>932.5</v>
      </c>
      <c r="H187" s="1">
        <v>43387</v>
      </c>
      <c r="I187" s="1">
        <v>43391</v>
      </c>
      <c r="J187">
        <v>4</v>
      </c>
    </row>
    <row r="188" spans="1:10" x14ac:dyDescent="0.25">
      <c r="A188">
        <v>334997</v>
      </c>
      <c r="B188">
        <v>785432</v>
      </c>
      <c r="C188" t="s">
        <v>14</v>
      </c>
      <c r="D188">
        <v>541</v>
      </c>
      <c r="E188">
        <v>2705</v>
      </c>
      <c r="F188">
        <v>1352.5</v>
      </c>
      <c r="G188">
        <v>1352.5</v>
      </c>
      <c r="H188" s="1">
        <v>43386</v>
      </c>
      <c r="I188" s="1">
        <v>43391</v>
      </c>
      <c r="J188">
        <v>5</v>
      </c>
    </row>
    <row r="189" spans="1:10" x14ac:dyDescent="0.25">
      <c r="A189">
        <v>375428</v>
      </c>
      <c r="B189">
        <v>325698</v>
      </c>
      <c r="C189" t="s">
        <v>15</v>
      </c>
      <c r="D189">
        <v>496</v>
      </c>
      <c r="E189">
        <v>2480</v>
      </c>
      <c r="F189">
        <v>1240</v>
      </c>
      <c r="G189">
        <v>1240</v>
      </c>
      <c r="H189" s="1">
        <v>43388</v>
      </c>
      <c r="I189" s="1">
        <v>43390</v>
      </c>
      <c r="J189">
        <v>2</v>
      </c>
    </row>
    <row r="190" spans="1:10" x14ac:dyDescent="0.25">
      <c r="A190">
        <v>711344</v>
      </c>
      <c r="B190">
        <v>325698</v>
      </c>
      <c r="C190" t="s">
        <v>15</v>
      </c>
      <c r="D190">
        <v>661</v>
      </c>
      <c r="E190">
        <v>3305</v>
      </c>
      <c r="F190">
        <v>1652.5</v>
      </c>
      <c r="G190">
        <v>1652.5</v>
      </c>
      <c r="H190" s="1">
        <v>43388</v>
      </c>
      <c r="I190" s="1">
        <v>43390</v>
      </c>
      <c r="J190">
        <v>2</v>
      </c>
    </row>
    <row r="191" spans="1:10" x14ac:dyDescent="0.25">
      <c r="A191">
        <v>916814</v>
      </c>
      <c r="B191">
        <v>325698</v>
      </c>
      <c r="C191" t="s">
        <v>15</v>
      </c>
      <c r="D191">
        <v>992</v>
      </c>
      <c r="E191">
        <v>4960</v>
      </c>
      <c r="F191">
        <v>2480</v>
      </c>
      <c r="G191">
        <v>2480</v>
      </c>
      <c r="H191" s="1">
        <v>43386</v>
      </c>
      <c r="I191" s="1">
        <v>43389</v>
      </c>
      <c r="J191">
        <v>3</v>
      </c>
    </row>
    <row r="192" spans="1:10" x14ac:dyDescent="0.25">
      <c r="A192">
        <v>302359</v>
      </c>
      <c r="B192">
        <v>985245</v>
      </c>
      <c r="C192" t="s">
        <v>13</v>
      </c>
      <c r="D192">
        <v>369</v>
      </c>
      <c r="E192">
        <v>1845</v>
      </c>
      <c r="F192">
        <v>922.5</v>
      </c>
      <c r="G192">
        <v>922.5</v>
      </c>
      <c r="H192" s="1">
        <v>43384</v>
      </c>
      <c r="I192" s="1">
        <v>43388</v>
      </c>
      <c r="J192">
        <v>4</v>
      </c>
    </row>
    <row r="193" spans="1:10" x14ac:dyDescent="0.25">
      <c r="A193">
        <v>676961</v>
      </c>
      <c r="B193">
        <v>785432</v>
      </c>
      <c r="C193" t="s">
        <v>14</v>
      </c>
      <c r="D193">
        <v>595</v>
      </c>
      <c r="E193">
        <v>2975</v>
      </c>
      <c r="F193">
        <v>1487.5</v>
      </c>
      <c r="G193">
        <v>1487.5</v>
      </c>
      <c r="H193" s="1">
        <v>43383</v>
      </c>
      <c r="I193" s="1">
        <v>43388</v>
      </c>
      <c r="J193">
        <v>5</v>
      </c>
    </row>
    <row r="194" spans="1:10" x14ac:dyDescent="0.25">
      <c r="A194">
        <v>930383</v>
      </c>
      <c r="B194">
        <v>325698</v>
      </c>
      <c r="C194" t="s">
        <v>15</v>
      </c>
      <c r="D194">
        <v>58</v>
      </c>
      <c r="E194">
        <v>290</v>
      </c>
      <c r="F194">
        <v>145</v>
      </c>
      <c r="G194">
        <v>145</v>
      </c>
      <c r="H194" s="1">
        <v>43384</v>
      </c>
      <c r="I194" s="1">
        <v>43386</v>
      </c>
      <c r="J194">
        <v>2</v>
      </c>
    </row>
    <row r="195" spans="1:10" x14ac:dyDescent="0.25">
      <c r="A195">
        <v>531597</v>
      </c>
      <c r="B195">
        <v>985245</v>
      </c>
      <c r="C195" t="s">
        <v>13</v>
      </c>
      <c r="D195">
        <v>187</v>
      </c>
      <c r="E195">
        <v>935</v>
      </c>
      <c r="F195">
        <v>467.5</v>
      </c>
      <c r="G195">
        <v>467.5</v>
      </c>
      <c r="H195" s="1">
        <v>43383</v>
      </c>
      <c r="I195" s="1">
        <v>43386</v>
      </c>
      <c r="J195">
        <v>3</v>
      </c>
    </row>
    <row r="196" spans="1:10" x14ac:dyDescent="0.25">
      <c r="A196">
        <v>133102</v>
      </c>
      <c r="B196">
        <v>152689</v>
      </c>
      <c r="C196" t="s">
        <v>11</v>
      </c>
      <c r="D196">
        <v>330</v>
      </c>
      <c r="E196">
        <v>1650</v>
      </c>
      <c r="F196">
        <v>825</v>
      </c>
      <c r="G196">
        <v>825</v>
      </c>
      <c r="H196" s="1">
        <v>43381</v>
      </c>
      <c r="I196" s="1">
        <v>43386</v>
      </c>
      <c r="J196">
        <v>5</v>
      </c>
    </row>
    <row r="197" spans="1:10" x14ac:dyDescent="0.25">
      <c r="A197">
        <v>501124</v>
      </c>
      <c r="B197">
        <v>152689</v>
      </c>
      <c r="C197" t="s">
        <v>11</v>
      </c>
      <c r="D197">
        <v>570</v>
      </c>
      <c r="E197">
        <v>2850</v>
      </c>
      <c r="F197">
        <v>1425</v>
      </c>
      <c r="G197">
        <v>1425</v>
      </c>
      <c r="H197" s="1">
        <v>43381</v>
      </c>
      <c r="I197" s="1">
        <v>43386</v>
      </c>
      <c r="J197">
        <v>5</v>
      </c>
    </row>
    <row r="198" spans="1:10" x14ac:dyDescent="0.25">
      <c r="A198">
        <v>494997</v>
      </c>
      <c r="B198">
        <v>325698</v>
      </c>
      <c r="C198" t="s">
        <v>15</v>
      </c>
      <c r="D198">
        <v>846</v>
      </c>
      <c r="E198">
        <v>4230</v>
      </c>
      <c r="F198">
        <v>2115</v>
      </c>
      <c r="G198">
        <v>2115</v>
      </c>
      <c r="H198" s="1">
        <v>43383</v>
      </c>
      <c r="I198" s="1">
        <v>43385</v>
      </c>
      <c r="J198">
        <v>2</v>
      </c>
    </row>
    <row r="199" spans="1:10" x14ac:dyDescent="0.25">
      <c r="A199">
        <v>249397</v>
      </c>
      <c r="B199">
        <v>785432</v>
      </c>
      <c r="C199" t="s">
        <v>14</v>
      </c>
      <c r="D199">
        <v>869</v>
      </c>
      <c r="E199">
        <v>4345</v>
      </c>
      <c r="F199">
        <v>2172.5</v>
      </c>
      <c r="G199">
        <v>2172.5</v>
      </c>
      <c r="H199" s="1">
        <v>43380</v>
      </c>
      <c r="I199" s="1">
        <v>43385</v>
      </c>
      <c r="J199">
        <v>5</v>
      </c>
    </row>
    <row r="200" spans="1:10" x14ac:dyDescent="0.25">
      <c r="A200">
        <v>428938</v>
      </c>
      <c r="B200">
        <v>152689</v>
      </c>
      <c r="C200" t="s">
        <v>11</v>
      </c>
      <c r="D200">
        <v>729</v>
      </c>
      <c r="E200">
        <v>3645</v>
      </c>
      <c r="F200">
        <v>1822.5</v>
      </c>
      <c r="G200">
        <v>1822.5</v>
      </c>
      <c r="H200" s="1">
        <v>43380</v>
      </c>
      <c r="I200" s="1">
        <v>43385</v>
      </c>
      <c r="J200">
        <v>5</v>
      </c>
    </row>
    <row r="201" spans="1:10" x14ac:dyDescent="0.25">
      <c r="A201">
        <v>514503</v>
      </c>
      <c r="B201">
        <v>325698</v>
      </c>
      <c r="C201" t="s">
        <v>15</v>
      </c>
      <c r="D201">
        <v>142</v>
      </c>
      <c r="E201">
        <v>710</v>
      </c>
      <c r="F201">
        <v>355</v>
      </c>
      <c r="G201">
        <v>355</v>
      </c>
      <c r="H201" s="1">
        <v>43382</v>
      </c>
      <c r="I201" s="1">
        <v>43384</v>
      </c>
      <c r="J201">
        <v>2</v>
      </c>
    </row>
    <row r="202" spans="1:10" x14ac:dyDescent="0.25">
      <c r="A202">
        <v>943837</v>
      </c>
      <c r="B202">
        <v>325698</v>
      </c>
      <c r="C202" t="s">
        <v>15</v>
      </c>
      <c r="D202">
        <v>604</v>
      </c>
      <c r="E202">
        <v>3020</v>
      </c>
      <c r="F202">
        <v>1510</v>
      </c>
      <c r="G202">
        <v>1510</v>
      </c>
      <c r="H202" s="1">
        <v>43382</v>
      </c>
      <c r="I202" s="1">
        <v>43384</v>
      </c>
      <c r="J202">
        <v>2</v>
      </c>
    </row>
    <row r="203" spans="1:10" x14ac:dyDescent="0.25">
      <c r="A203">
        <v>731859</v>
      </c>
      <c r="B203">
        <v>325698</v>
      </c>
      <c r="C203" t="s">
        <v>15</v>
      </c>
      <c r="D203">
        <v>228</v>
      </c>
      <c r="E203">
        <v>1140</v>
      </c>
      <c r="F203">
        <v>570</v>
      </c>
      <c r="G203">
        <v>570</v>
      </c>
      <c r="H203" s="1">
        <v>43381</v>
      </c>
      <c r="I203" s="1">
        <v>43383</v>
      </c>
      <c r="J203">
        <v>2</v>
      </c>
    </row>
    <row r="204" spans="1:10" x14ac:dyDescent="0.25">
      <c r="A204">
        <v>687522</v>
      </c>
      <c r="B204">
        <v>985245</v>
      </c>
      <c r="C204" t="s">
        <v>13</v>
      </c>
      <c r="D204">
        <v>729</v>
      </c>
      <c r="E204">
        <v>3645</v>
      </c>
      <c r="F204">
        <v>1822.5</v>
      </c>
      <c r="G204">
        <v>1822.5</v>
      </c>
      <c r="H204" s="1">
        <v>43380</v>
      </c>
      <c r="I204" s="1">
        <v>43383</v>
      </c>
      <c r="J204">
        <v>3</v>
      </c>
    </row>
    <row r="205" spans="1:10" x14ac:dyDescent="0.25">
      <c r="A205">
        <v>503373</v>
      </c>
      <c r="B205">
        <v>325698</v>
      </c>
      <c r="C205" t="s">
        <v>15</v>
      </c>
      <c r="D205">
        <v>284</v>
      </c>
      <c r="E205">
        <v>1420</v>
      </c>
      <c r="F205">
        <v>710</v>
      </c>
      <c r="G205">
        <v>710</v>
      </c>
      <c r="H205" s="1">
        <v>43379</v>
      </c>
      <c r="I205" s="1">
        <v>43382</v>
      </c>
      <c r="J205">
        <v>3</v>
      </c>
    </row>
    <row r="206" spans="1:10" x14ac:dyDescent="0.25">
      <c r="A206">
        <v>736420</v>
      </c>
      <c r="B206">
        <v>785432</v>
      </c>
      <c r="C206" t="s">
        <v>14</v>
      </c>
      <c r="D206">
        <v>853</v>
      </c>
      <c r="E206">
        <v>4265</v>
      </c>
      <c r="F206">
        <v>2132.5</v>
      </c>
      <c r="G206">
        <v>2132.5</v>
      </c>
      <c r="H206" s="1">
        <v>43377</v>
      </c>
      <c r="I206" s="1">
        <v>43382</v>
      </c>
      <c r="J206">
        <v>5</v>
      </c>
    </row>
    <row r="207" spans="1:10" x14ac:dyDescent="0.25">
      <c r="A207">
        <v>756462</v>
      </c>
      <c r="B207">
        <v>452584</v>
      </c>
      <c r="C207" t="s">
        <v>12</v>
      </c>
      <c r="D207">
        <v>778</v>
      </c>
      <c r="E207">
        <v>3890</v>
      </c>
      <c r="F207">
        <v>1945</v>
      </c>
      <c r="G207">
        <v>1945</v>
      </c>
      <c r="H207" s="1">
        <v>43378</v>
      </c>
      <c r="I207" s="1">
        <v>43380</v>
      </c>
      <c r="J207">
        <v>2</v>
      </c>
    </row>
    <row r="208" spans="1:10" x14ac:dyDescent="0.25">
      <c r="A208">
        <v>426393</v>
      </c>
      <c r="B208">
        <v>452584</v>
      </c>
      <c r="C208" t="s">
        <v>12</v>
      </c>
      <c r="D208">
        <v>966</v>
      </c>
      <c r="E208">
        <v>4830</v>
      </c>
      <c r="F208">
        <v>2415</v>
      </c>
      <c r="G208">
        <v>2415</v>
      </c>
      <c r="H208" s="1">
        <v>43378</v>
      </c>
      <c r="I208" s="1">
        <v>43380</v>
      </c>
      <c r="J208">
        <v>2</v>
      </c>
    </row>
    <row r="209" spans="1:10" x14ac:dyDescent="0.25">
      <c r="A209">
        <v>368075</v>
      </c>
      <c r="B209">
        <v>325698</v>
      </c>
      <c r="C209" t="s">
        <v>15</v>
      </c>
      <c r="D209">
        <v>568</v>
      </c>
      <c r="E209">
        <v>2840</v>
      </c>
      <c r="F209">
        <v>1420</v>
      </c>
      <c r="G209">
        <v>1420</v>
      </c>
      <c r="H209" s="1">
        <v>43378</v>
      </c>
      <c r="I209" s="1">
        <v>43380</v>
      </c>
      <c r="J209">
        <v>2</v>
      </c>
    </row>
    <row r="210" spans="1:10" x14ac:dyDescent="0.25">
      <c r="A210">
        <v>928973</v>
      </c>
      <c r="B210">
        <v>152689</v>
      </c>
      <c r="C210" t="s">
        <v>11</v>
      </c>
      <c r="D210">
        <v>53</v>
      </c>
      <c r="E210">
        <v>265</v>
      </c>
      <c r="F210">
        <v>132.5</v>
      </c>
      <c r="G210">
        <v>132.5</v>
      </c>
      <c r="H210" s="1">
        <v>43375</v>
      </c>
      <c r="I210" s="1">
        <v>43380</v>
      </c>
      <c r="J210">
        <v>5</v>
      </c>
    </row>
    <row r="211" spans="1:10" x14ac:dyDescent="0.25">
      <c r="A211">
        <v>731467</v>
      </c>
      <c r="B211">
        <v>452584</v>
      </c>
      <c r="C211" t="s">
        <v>12</v>
      </c>
      <c r="D211">
        <v>874</v>
      </c>
      <c r="E211">
        <v>4370</v>
      </c>
      <c r="F211">
        <v>2185</v>
      </c>
      <c r="G211">
        <v>2185</v>
      </c>
      <c r="H211" s="1">
        <v>43377</v>
      </c>
      <c r="I211" s="1">
        <v>43379</v>
      </c>
      <c r="J211">
        <v>2</v>
      </c>
    </row>
    <row r="212" spans="1:10" x14ac:dyDescent="0.25">
      <c r="A212">
        <v>286892</v>
      </c>
      <c r="B212">
        <v>985245</v>
      </c>
      <c r="C212" t="s">
        <v>13</v>
      </c>
      <c r="D212">
        <v>176</v>
      </c>
      <c r="E212">
        <v>880</v>
      </c>
      <c r="F212">
        <v>440</v>
      </c>
      <c r="G212">
        <v>440</v>
      </c>
      <c r="H212" s="1">
        <v>43375</v>
      </c>
      <c r="I212" s="1">
        <v>43379</v>
      </c>
      <c r="J212">
        <v>4</v>
      </c>
    </row>
    <row r="213" spans="1:10" x14ac:dyDescent="0.25">
      <c r="A213">
        <v>975375</v>
      </c>
      <c r="B213">
        <v>785432</v>
      </c>
      <c r="C213" t="s">
        <v>14</v>
      </c>
      <c r="D213">
        <v>931</v>
      </c>
      <c r="E213">
        <v>4655</v>
      </c>
      <c r="F213">
        <v>2327.5</v>
      </c>
      <c r="G213">
        <v>2327.5</v>
      </c>
      <c r="H213" s="1">
        <v>43374</v>
      </c>
      <c r="I213" s="1">
        <v>43379</v>
      </c>
      <c r="J213">
        <v>5</v>
      </c>
    </row>
    <row r="214" spans="1:10" x14ac:dyDescent="0.25">
      <c r="A214">
        <v>511513</v>
      </c>
      <c r="B214">
        <v>152689</v>
      </c>
      <c r="C214" t="s">
        <v>11</v>
      </c>
      <c r="D214">
        <v>651</v>
      </c>
      <c r="E214">
        <v>3255</v>
      </c>
      <c r="F214">
        <v>1627.5</v>
      </c>
      <c r="G214">
        <v>1627.5</v>
      </c>
      <c r="H214" s="1">
        <v>43374</v>
      </c>
      <c r="I214" s="1">
        <v>43379</v>
      </c>
      <c r="J214">
        <v>5</v>
      </c>
    </row>
    <row r="215" spans="1:10" x14ac:dyDescent="0.25">
      <c r="A215">
        <v>668154</v>
      </c>
      <c r="B215">
        <v>152689</v>
      </c>
      <c r="C215" t="s">
        <v>11</v>
      </c>
      <c r="D215">
        <v>404</v>
      </c>
      <c r="E215">
        <v>2020</v>
      </c>
      <c r="F215">
        <v>1010</v>
      </c>
      <c r="G215">
        <v>1010</v>
      </c>
      <c r="H215" s="1">
        <v>43373</v>
      </c>
      <c r="I215" s="1">
        <v>43379</v>
      </c>
      <c r="J215">
        <v>6</v>
      </c>
    </row>
    <row r="216" spans="1:10" x14ac:dyDescent="0.25">
      <c r="A216">
        <v>243275</v>
      </c>
      <c r="B216">
        <v>452584</v>
      </c>
      <c r="C216" t="s">
        <v>12</v>
      </c>
      <c r="D216">
        <v>60</v>
      </c>
      <c r="E216">
        <v>300</v>
      </c>
      <c r="F216">
        <v>150</v>
      </c>
      <c r="G216">
        <v>150</v>
      </c>
      <c r="H216" s="1">
        <v>43376</v>
      </c>
      <c r="I216" s="1">
        <v>43378</v>
      </c>
      <c r="J216">
        <v>2</v>
      </c>
    </row>
    <row r="217" spans="1:10" x14ac:dyDescent="0.25">
      <c r="A217">
        <v>715006</v>
      </c>
      <c r="B217">
        <v>452584</v>
      </c>
      <c r="C217" t="s">
        <v>12</v>
      </c>
      <c r="D217">
        <v>335</v>
      </c>
      <c r="E217">
        <v>1675</v>
      </c>
      <c r="F217">
        <v>837.5</v>
      </c>
      <c r="G217">
        <v>837.5</v>
      </c>
      <c r="H217" s="1">
        <v>43376</v>
      </c>
      <c r="I217" s="1">
        <v>43378</v>
      </c>
      <c r="J217">
        <v>2</v>
      </c>
    </row>
    <row r="218" spans="1:10" x14ac:dyDescent="0.25">
      <c r="A218">
        <v>741932</v>
      </c>
      <c r="B218">
        <v>785432</v>
      </c>
      <c r="C218" t="s">
        <v>14</v>
      </c>
      <c r="D218">
        <v>788</v>
      </c>
      <c r="E218">
        <v>3940</v>
      </c>
      <c r="F218">
        <v>1970</v>
      </c>
      <c r="G218">
        <v>1970</v>
      </c>
      <c r="H218" s="1">
        <v>43373</v>
      </c>
      <c r="I218" s="1">
        <v>43378</v>
      </c>
      <c r="J218">
        <v>5</v>
      </c>
    </row>
    <row r="219" spans="1:10" x14ac:dyDescent="0.25">
      <c r="A219">
        <v>410119</v>
      </c>
      <c r="B219">
        <v>325698</v>
      </c>
      <c r="C219" t="s">
        <v>15</v>
      </c>
      <c r="D219">
        <v>159</v>
      </c>
      <c r="E219">
        <v>795</v>
      </c>
      <c r="F219">
        <v>397.5</v>
      </c>
      <c r="G219">
        <v>397.5</v>
      </c>
      <c r="H219" s="1">
        <v>43375</v>
      </c>
      <c r="I219" s="1">
        <v>43377</v>
      </c>
      <c r="J219">
        <v>2</v>
      </c>
    </row>
    <row r="220" spans="1:10" x14ac:dyDescent="0.25">
      <c r="A220">
        <v>248814</v>
      </c>
      <c r="B220">
        <v>985245</v>
      </c>
      <c r="C220" t="s">
        <v>13</v>
      </c>
      <c r="D220">
        <v>662</v>
      </c>
      <c r="E220">
        <v>3310</v>
      </c>
      <c r="F220">
        <v>1655</v>
      </c>
      <c r="G220">
        <v>1655</v>
      </c>
      <c r="H220" s="1">
        <v>43373</v>
      </c>
      <c r="I220" s="1">
        <v>43377</v>
      </c>
      <c r="J220">
        <v>4</v>
      </c>
    </row>
    <row r="221" spans="1:10" x14ac:dyDescent="0.25">
      <c r="A221">
        <v>634324</v>
      </c>
      <c r="B221">
        <v>785432</v>
      </c>
      <c r="C221" t="s">
        <v>14</v>
      </c>
      <c r="D221">
        <v>459</v>
      </c>
      <c r="E221">
        <v>2295</v>
      </c>
      <c r="F221">
        <v>1147.5</v>
      </c>
      <c r="G221">
        <v>1147.5</v>
      </c>
      <c r="H221" s="1">
        <v>43371</v>
      </c>
      <c r="I221" s="1">
        <v>43376</v>
      </c>
      <c r="J221">
        <v>5</v>
      </c>
    </row>
    <row r="222" spans="1:10" x14ac:dyDescent="0.25">
      <c r="A222">
        <v>623258</v>
      </c>
      <c r="B222">
        <v>152689</v>
      </c>
      <c r="C222" t="s">
        <v>11</v>
      </c>
      <c r="D222">
        <v>810</v>
      </c>
      <c r="E222">
        <v>4050</v>
      </c>
      <c r="F222">
        <v>2025</v>
      </c>
      <c r="G222">
        <v>2025</v>
      </c>
      <c r="H222" s="1">
        <v>43371</v>
      </c>
      <c r="I222" s="1">
        <v>43376</v>
      </c>
      <c r="J222">
        <v>5</v>
      </c>
    </row>
    <row r="223" spans="1:10" x14ac:dyDescent="0.25">
      <c r="A223">
        <v>462489</v>
      </c>
      <c r="B223">
        <v>985245</v>
      </c>
      <c r="C223" t="s">
        <v>13</v>
      </c>
      <c r="D223">
        <v>969</v>
      </c>
      <c r="E223">
        <v>4845</v>
      </c>
      <c r="F223">
        <v>2422.5</v>
      </c>
      <c r="G223">
        <v>2422.5</v>
      </c>
      <c r="H223" s="1">
        <v>43371</v>
      </c>
      <c r="I223" s="1">
        <v>43375</v>
      </c>
      <c r="J223">
        <v>4</v>
      </c>
    </row>
    <row r="224" spans="1:10" x14ac:dyDescent="0.25">
      <c r="A224">
        <v>561376</v>
      </c>
      <c r="B224">
        <v>785432</v>
      </c>
      <c r="C224" t="s">
        <v>14</v>
      </c>
      <c r="D224">
        <v>184</v>
      </c>
      <c r="E224">
        <v>920</v>
      </c>
      <c r="F224">
        <v>460</v>
      </c>
      <c r="G224">
        <v>460</v>
      </c>
      <c r="H224" s="1">
        <v>43371</v>
      </c>
      <c r="I224" s="1">
        <v>43375</v>
      </c>
      <c r="J224">
        <v>4</v>
      </c>
    </row>
    <row r="225" spans="1:10" x14ac:dyDescent="0.25">
      <c r="A225">
        <v>896633</v>
      </c>
      <c r="B225">
        <v>152689</v>
      </c>
      <c r="C225" t="s">
        <v>11</v>
      </c>
      <c r="D225">
        <v>831</v>
      </c>
      <c r="E225">
        <v>4155</v>
      </c>
      <c r="F225">
        <v>2077.5</v>
      </c>
      <c r="G225">
        <v>2077.5</v>
      </c>
      <c r="H225" s="1">
        <v>43370</v>
      </c>
      <c r="I225" s="1">
        <v>43375</v>
      </c>
      <c r="J225">
        <v>5</v>
      </c>
    </row>
    <row r="226" spans="1:10" x14ac:dyDescent="0.25">
      <c r="A226">
        <v>296702</v>
      </c>
      <c r="B226">
        <v>325698</v>
      </c>
      <c r="C226" t="s">
        <v>15</v>
      </c>
      <c r="D226">
        <v>939</v>
      </c>
      <c r="E226">
        <v>4695</v>
      </c>
      <c r="F226">
        <v>2347.5</v>
      </c>
      <c r="G226">
        <v>2347.5</v>
      </c>
      <c r="H226" s="1">
        <v>43372</v>
      </c>
      <c r="I226" s="1">
        <v>43374</v>
      </c>
      <c r="J226">
        <v>2</v>
      </c>
    </row>
    <row r="227" spans="1:10" x14ac:dyDescent="0.25">
      <c r="A227">
        <v>822153</v>
      </c>
      <c r="B227">
        <v>985245</v>
      </c>
      <c r="C227" t="s">
        <v>13</v>
      </c>
      <c r="D227">
        <v>277</v>
      </c>
      <c r="E227">
        <v>1385</v>
      </c>
      <c r="F227">
        <v>692.5</v>
      </c>
      <c r="G227">
        <v>692.5</v>
      </c>
      <c r="H227" s="1">
        <v>43369</v>
      </c>
      <c r="I227" s="1">
        <v>43373</v>
      </c>
      <c r="J227">
        <v>4</v>
      </c>
    </row>
    <row r="228" spans="1:10" x14ac:dyDescent="0.25">
      <c r="A228">
        <v>519346</v>
      </c>
      <c r="B228">
        <v>785432</v>
      </c>
      <c r="C228" t="s">
        <v>14</v>
      </c>
      <c r="D228">
        <v>591</v>
      </c>
      <c r="E228">
        <v>2955</v>
      </c>
      <c r="F228">
        <v>1477.5</v>
      </c>
      <c r="G228">
        <v>1477.5</v>
      </c>
      <c r="H228" s="1">
        <v>43368</v>
      </c>
      <c r="I228" s="1">
        <v>43373</v>
      </c>
      <c r="J228">
        <v>5</v>
      </c>
    </row>
    <row r="229" spans="1:10" x14ac:dyDescent="0.25">
      <c r="A229">
        <v>118714</v>
      </c>
      <c r="B229">
        <v>785432</v>
      </c>
      <c r="C229" t="s">
        <v>14</v>
      </c>
      <c r="D229">
        <v>525</v>
      </c>
      <c r="E229">
        <v>2625</v>
      </c>
      <c r="F229">
        <v>1312.5</v>
      </c>
      <c r="G229">
        <v>1312.5</v>
      </c>
      <c r="H229" s="1">
        <v>43368</v>
      </c>
      <c r="I229" s="1">
        <v>43373</v>
      </c>
      <c r="J229">
        <v>5</v>
      </c>
    </row>
    <row r="230" spans="1:10" x14ac:dyDescent="0.25">
      <c r="A230">
        <v>117112</v>
      </c>
      <c r="B230">
        <v>152689</v>
      </c>
      <c r="C230" t="s">
        <v>11</v>
      </c>
      <c r="D230">
        <v>662</v>
      </c>
      <c r="E230">
        <v>3310</v>
      </c>
      <c r="F230">
        <v>1655</v>
      </c>
      <c r="G230">
        <v>1655</v>
      </c>
      <c r="H230" s="1">
        <v>43368</v>
      </c>
      <c r="I230" s="1">
        <v>43373</v>
      </c>
      <c r="J230">
        <v>5</v>
      </c>
    </row>
    <row r="231" spans="1:10" x14ac:dyDescent="0.25">
      <c r="A231">
        <v>893516</v>
      </c>
      <c r="B231">
        <v>985245</v>
      </c>
      <c r="C231" t="s">
        <v>13</v>
      </c>
      <c r="D231">
        <v>731</v>
      </c>
      <c r="E231">
        <v>3655</v>
      </c>
      <c r="F231">
        <v>1827.5</v>
      </c>
      <c r="G231">
        <v>1827.5</v>
      </c>
      <c r="H231" s="1">
        <v>43368</v>
      </c>
      <c r="I231" s="1">
        <v>43372</v>
      </c>
      <c r="J231">
        <v>4</v>
      </c>
    </row>
    <row r="232" spans="1:10" x14ac:dyDescent="0.25">
      <c r="A232">
        <v>462729</v>
      </c>
      <c r="B232">
        <v>452584</v>
      </c>
      <c r="C232" t="s">
        <v>12</v>
      </c>
      <c r="D232">
        <v>609</v>
      </c>
      <c r="E232">
        <v>3045</v>
      </c>
      <c r="F232">
        <v>1522.5</v>
      </c>
      <c r="G232">
        <v>1522.5</v>
      </c>
      <c r="H232" s="1">
        <v>43369</v>
      </c>
      <c r="I232" s="1">
        <v>43371</v>
      </c>
      <c r="J232">
        <v>2</v>
      </c>
    </row>
    <row r="233" spans="1:10" x14ac:dyDescent="0.25">
      <c r="A233">
        <v>961361</v>
      </c>
      <c r="B233">
        <v>325698</v>
      </c>
      <c r="C233" t="s">
        <v>15</v>
      </c>
      <c r="D233">
        <v>137</v>
      </c>
      <c r="E233">
        <v>685</v>
      </c>
      <c r="F233">
        <v>342.5</v>
      </c>
      <c r="G233">
        <v>342.5</v>
      </c>
      <c r="H233" s="1">
        <v>43369</v>
      </c>
      <c r="I233" s="1">
        <v>43371</v>
      </c>
      <c r="J233">
        <v>2</v>
      </c>
    </row>
    <row r="234" spans="1:10" x14ac:dyDescent="0.25">
      <c r="A234">
        <v>117021</v>
      </c>
      <c r="B234">
        <v>785432</v>
      </c>
      <c r="C234" t="s">
        <v>14</v>
      </c>
      <c r="D234">
        <v>90</v>
      </c>
      <c r="E234">
        <v>450</v>
      </c>
      <c r="F234">
        <v>225</v>
      </c>
      <c r="G234">
        <v>225</v>
      </c>
      <c r="H234" s="1">
        <v>43365</v>
      </c>
      <c r="I234" s="1">
        <v>43370</v>
      </c>
      <c r="J234">
        <v>5</v>
      </c>
    </row>
    <row r="235" spans="1:10" x14ac:dyDescent="0.25">
      <c r="A235">
        <v>839405</v>
      </c>
      <c r="B235">
        <v>152689</v>
      </c>
      <c r="C235" t="s">
        <v>11</v>
      </c>
      <c r="D235">
        <v>273</v>
      </c>
      <c r="E235">
        <v>1365</v>
      </c>
      <c r="F235">
        <v>682.5</v>
      </c>
      <c r="G235">
        <v>682.5</v>
      </c>
      <c r="H235" s="1">
        <v>43365</v>
      </c>
      <c r="I235" s="1">
        <v>43370</v>
      </c>
      <c r="J235">
        <v>5</v>
      </c>
    </row>
    <row r="236" spans="1:10" x14ac:dyDescent="0.25">
      <c r="A236">
        <v>134853</v>
      </c>
      <c r="B236">
        <v>325698</v>
      </c>
      <c r="C236" t="s">
        <v>15</v>
      </c>
      <c r="D236">
        <v>690</v>
      </c>
      <c r="E236">
        <v>3450</v>
      </c>
      <c r="F236">
        <v>1725</v>
      </c>
      <c r="G236">
        <v>1725</v>
      </c>
      <c r="H236" s="1">
        <v>43367</v>
      </c>
      <c r="I236" s="1">
        <v>43369</v>
      </c>
      <c r="J236">
        <v>2</v>
      </c>
    </row>
    <row r="237" spans="1:10" x14ac:dyDescent="0.25">
      <c r="A237">
        <v>461852</v>
      </c>
      <c r="B237">
        <v>985245</v>
      </c>
      <c r="C237" t="s">
        <v>13</v>
      </c>
      <c r="D237">
        <v>888</v>
      </c>
      <c r="E237">
        <v>4440</v>
      </c>
      <c r="F237">
        <v>2220</v>
      </c>
      <c r="G237">
        <v>2220</v>
      </c>
      <c r="H237" s="1">
        <v>43365</v>
      </c>
      <c r="I237" s="1">
        <v>43369</v>
      </c>
      <c r="J237">
        <v>4</v>
      </c>
    </row>
    <row r="238" spans="1:10" x14ac:dyDescent="0.25">
      <c r="A238">
        <v>396120</v>
      </c>
      <c r="B238">
        <v>785432</v>
      </c>
      <c r="C238" t="s">
        <v>14</v>
      </c>
      <c r="D238">
        <v>858</v>
      </c>
      <c r="E238">
        <v>4290</v>
      </c>
      <c r="F238">
        <v>2145</v>
      </c>
      <c r="G238">
        <v>2145</v>
      </c>
      <c r="H238" s="1">
        <v>43364</v>
      </c>
      <c r="I238" s="1">
        <v>43369</v>
      </c>
      <c r="J238">
        <v>5</v>
      </c>
    </row>
    <row r="239" spans="1:10" x14ac:dyDescent="0.25">
      <c r="A239">
        <v>463257</v>
      </c>
      <c r="B239">
        <v>325698</v>
      </c>
      <c r="C239" t="s">
        <v>15</v>
      </c>
      <c r="D239">
        <v>450</v>
      </c>
      <c r="E239">
        <v>2250</v>
      </c>
      <c r="F239">
        <v>1125</v>
      </c>
      <c r="G239">
        <v>1125</v>
      </c>
      <c r="H239" s="1">
        <v>43366</v>
      </c>
      <c r="I239" s="1">
        <v>43368</v>
      </c>
      <c r="J239">
        <v>2</v>
      </c>
    </row>
    <row r="240" spans="1:10" x14ac:dyDescent="0.25">
      <c r="A240">
        <v>782236</v>
      </c>
      <c r="B240">
        <v>325698</v>
      </c>
      <c r="C240" t="s">
        <v>15</v>
      </c>
      <c r="D240">
        <v>623</v>
      </c>
      <c r="E240">
        <v>3115</v>
      </c>
      <c r="F240">
        <v>1557.5</v>
      </c>
      <c r="G240">
        <v>1557.5</v>
      </c>
      <c r="H240" s="1">
        <v>43366</v>
      </c>
      <c r="I240" s="1">
        <v>43368</v>
      </c>
      <c r="J240">
        <v>2</v>
      </c>
    </row>
    <row r="241" spans="1:10" x14ac:dyDescent="0.25">
      <c r="A241">
        <v>945661</v>
      </c>
      <c r="B241">
        <v>325698</v>
      </c>
      <c r="C241" t="s">
        <v>15</v>
      </c>
      <c r="D241">
        <v>125</v>
      </c>
      <c r="E241">
        <v>625</v>
      </c>
      <c r="F241">
        <v>312.5</v>
      </c>
      <c r="G241">
        <v>312.5</v>
      </c>
      <c r="H241" s="1">
        <v>43366</v>
      </c>
      <c r="I241" s="1">
        <v>43368</v>
      </c>
      <c r="J241">
        <v>2</v>
      </c>
    </row>
    <row r="242" spans="1:10" x14ac:dyDescent="0.25">
      <c r="A242">
        <v>818201</v>
      </c>
      <c r="B242">
        <v>985245</v>
      </c>
      <c r="C242" t="s">
        <v>13</v>
      </c>
      <c r="D242">
        <v>195</v>
      </c>
      <c r="E242">
        <v>975</v>
      </c>
      <c r="F242">
        <v>487.5</v>
      </c>
      <c r="G242">
        <v>487.5</v>
      </c>
      <c r="H242" s="1">
        <v>43365</v>
      </c>
      <c r="I242" s="1">
        <v>43368</v>
      </c>
      <c r="J242">
        <v>3</v>
      </c>
    </row>
    <row r="243" spans="1:10" x14ac:dyDescent="0.25">
      <c r="A243">
        <v>275765</v>
      </c>
      <c r="B243">
        <v>152689</v>
      </c>
      <c r="C243" t="s">
        <v>11</v>
      </c>
      <c r="D243">
        <v>212</v>
      </c>
      <c r="E243">
        <v>1060</v>
      </c>
      <c r="F243">
        <v>530</v>
      </c>
      <c r="G243">
        <v>530</v>
      </c>
      <c r="H243" s="1">
        <v>43363</v>
      </c>
      <c r="I243" s="1">
        <v>43368</v>
      </c>
      <c r="J243">
        <v>5</v>
      </c>
    </row>
    <row r="244" spans="1:10" x14ac:dyDescent="0.25">
      <c r="A244">
        <v>261156</v>
      </c>
      <c r="B244">
        <v>452584</v>
      </c>
      <c r="C244" t="s">
        <v>12</v>
      </c>
      <c r="D244">
        <v>189</v>
      </c>
      <c r="E244">
        <v>945</v>
      </c>
      <c r="F244">
        <v>472.5</v>
      </c>
      <c r="G244">
        <v>472.5</v>
      </c>
      <c r="H244" s="1">
        <v>43365</v>
      </c>
      <c r="I244" s="1">
        <v>43367</v>
      </c>
      <c r="J244">
        <v>2</v>
      </c>
    </row>
    <row r="245" spans="1:10" x14ac:dyDescent="0.25">
      <c r="A245">
        <v>314595</v>
      </c>
      <c r="B245">
        <v>325698</v>
      </c>
      <c r="C245" t="s">
        <v>15</v>
      </c>
      <c r="D245">
        <v>808</v>
      </c>
      <c r="E245">
        <v>4040</v>
      </c>
      <c r="F245">
        <v>2020</v>
      </c>
      <c r="G245">
        <v>2020</v>
      </c>
      <c r="H245" s="1">
        <v>43364</v>
      </c>
      <c r="I245" s="1">
        <v>43367</v>
      </c>
      <c r="J245">
        <v>3</v>
      </c>
    </row>
    <row r="246" spans="1:10" x14ac:dyDescent="0.25">
      <c r="A246">
        <v>542305</v>
      </c>
      <c r="B246">
        <v>985245</v>
      </c>
      <c r="C246" t="s">
        <v>13</v>
      </c>
      <c r="D246">
        <v>577</v>
      </c>
      <c r="E246">
        <v>2885</v>
      </c>
      <c r="F246">
        <v>1442.5</v>
      </c>
      <c r="G246">
        <v>1442.5</v>
      </c>
      <c r="H246" s="1">
        <v>43364</v>
      </c>
      <c r="I246" s="1">
        <v>43367</v>
      </c>
      <c r="J246">
        <v>3</v>
      </c>
    </row>
    <row r="247" spans="1:10" x14ac:dyDescent="0.25">
      <c r="A247">
        <v>998683</v>
      </c>
      <c r="B247">
        <v>985245</v>
      </c>
      <c r="C247" t="s">
        <v>13</v>
      </c>
      <c r="D247">
        <v>281</v>
      </c>
      <c r="E247">
        <v>1405</v>
      </c>
      <c r="F247">
        <v>702.5</v>
      </c>
      <c r="G247">
        <v>702.5</v>
      </c>
      <c r="H247" s="1">
        <v>43363</v>
      </c>
      <c r="I247" s="1">
        <v>43367</v>
      </c>
      <c r="J247">
        <v>4</v>
      </c>
    </row>
    <row r="248" spans="1:10" x14ac:dyDescent="0.25">
      <c r="A248">
        <v>518284</v>
      </c>
      <c r="B248">
        <v>152689</v>
      </c>
      <c r="C248" t="s">
        <v>11</v>
      </c>
      <c r="D248">
        <v>166</v>
      </c>
      <c r="E248">
        <v>830</v>
      </c>
      <c r="F248">
        <v>415</v>
      </c>
      <c r="G248">
        <v>415</v>
      </c>
      <c r="H248" s="1">
        <v>43362</v>
      </c>
      <c r="I248" s="1">
        <v>43367</v>
      </c>
      <c r="J248">
        <v>5</v>
      </c>
    </row>
    <row r="249" spans="1:10" x14ac:dyDescent="0.25">
      <c r="A249">
        <v>212502</v>
      </c>
      <c r="B249">
        <v>325698</v>
      </c>
      <c r="C249" t="s">
        <v>15</v>
      </c>
      <c r="D249">
        <v>154</v>
      </c>
      <c r="E249">
        <v>770</v>
      </c>
      <c r="F249">
        <v>385</v>
      </c>
      <c r="G249">
        <v>385</v>
      </c>
      <c r="H249" s="1">
        <v>43364</v>
      </c>
      <c r="I249" s="1">
        <v>43366</v>
      </c>
      <c r="J249">
        <v>2</v>
      </c>
    </row>
    <row r="250" spans="1:10" x14ac:dyDescent="0.25">
      <c r="A250">
        <v>108339</v>
      </c>
      <c r="B250">
        <v>325698</v>
      </c>
      <c r="C250" t="s">
        <v>15</v>
      </c>
      <c r="D250">
        <v>400</v>
      </c>
      <c r="E250">
        <v>2000</v>
      </c>
      <c r="F250">
        <v>1000</v>
      </c>
      <c r="G250">
        <v>1000</v>
      </c>
      <c r="H250" s="1">
        <v>43364</v>
      </c>
      <c r="I250" s="1">
        <v>43366</v>
      </c>
      <c r="J250">
        <v>2</v>
      </c>
    </row>
    <row r="251" spans="1:10" x14ac:dyDescent="0.25">
      <c r="A251">
        <v>845355</v>
      </c>
      <c r="B251">
        <v>985245</v>
      </c>
      <c r="C251" t="s">
        <v>13</v>
      </c>
      <c r="D251">
        <v>649</v>
      </c>
      <c r="E251">
        <v>3245</v>
      </c>
      <c r="F251">
        <v>1622.5</v>
      </c>
      <c r="G251">
        <v>1622.5</v>
      </c>
      <c r="H251" s="1">
        <v>43363</v>
      </c>
      <c r="I251" s="1">
        <v>43366</v>
      </c>
      <c r="J251">
        <v>3</v>
      </c>
    </row>
    <row r="252" spans="1:10" x14ac:dyDescent="0.25">
      <c r="A252">
        <v>835168</v>
      </c>
      <c r="B252">
        <v>985245</v>
      </c>
      <c r="C252" t="s">
        <v>13</v>
      </c>
      <c r="D252">
        <v>937</v>
      </c>
      <c r="E252">
        <v>4685</v>
      </c>
      <c r="F252">
        <v>2342.5</v>
      </c>
      <c r="G252">
        <v>2342.5</v>
      </c>
      <c r="H252" s="1">
        <v>43363</v>
      </c>
      <c r="I252" s="1">
        <v>43366</v>
      </c>
      <c r="J252">
        <v>3</v>
      </c>
    </row>
    <row r="253" spans="1:10" x14ac:dyDescent="0.25">
      <c r="A253">
        <v>876653</v>
      </c>
      <c r="B253">
        <v>985245</v>
      </c>
      <c r="C253" t="s">
        <v>13</v>
      </c>
      <c r="D253">
        <v>736</v>
      </c>
      <c r="E253">
        <v>3680</v>
      </c>
      <c r="F253">
        <v>1840</v>
      </c>
      <c r="G253">
        <v>1840</v>
      </c>
      <c r="H253" s="1">
        <v>43363</v>
      </c>
      <c r="I253" s="1">
        <v>43366</v>
      </c>
      <c r="J253">
        <v>3</v>
      </c>
    </row>
    <row r="254" spans="1:10" x14ac:dyDescent="0.25">
      <c r="A254">
        <v>593604</v>
      </c>
      <c r="B254">
        <v>152689</v>
      </c>
      <c r="C254" t="s">
        <v>11</v>
      </c>
      <c r="D254">
        <v>132</v>
      </c>
      <c r="E254">
        <v>660</v>
      </c>
      <c r="F254">
        <v>330</v>
      </c>
      <c r="G254">
        <v>330</v>
      </c>
      <c r="H254" s="1">
        <v>43361</v>
      </c>
      <c r="I254" s="1">
        <v>43366</v>
      </c>
      <c r="J254">
        <v>5</v>
      </c>
    </row>
    <row r="255" spans="1:10" x14ac:dyDescent="0.25">
      <c r="A255">
        <v>527139</v>
      </c>
      <c r="B255">
        <v>152689</v>
      </c>
      <c r="C255" t="s">
        <v>11</v>
      </c>
      <c r="D255">
        <v>782</v>
      </c>
      <c r="E255">
        <v>3910</v>
      </c>
      <c r="F255">
        <v>1955</v>
      </c>
      <c r="G255">
        <v>1955</v>
      </c>
      <c r="H255" s="1">
        <v>43359</v>
      </c>
      <c r="I255" s="1">
        <v>43365</v>
      </c>
      <c r="J255">
        <v>6</v>
      </c>
    </row>
    <row r="256" spans="1:10" x14ac:dyDescent="0.25">
      <c r="A256">
        <v>395070</v>
      </c>
      <c r="B256">
        <v>325698</v>
      </c>
      <c r="C256" t="s">
        <v>15</v>
      </c>
      <c r="D256">
        <v>943</v>
      </c>
      <c r="E256">
        <v>4715</v>
      </c>
      <c r="F256">
        <v>2357.5</v>
      </c>
      <c r="G256">
        <v>2357.5</v>
      </c>
      <c r="H256" s="1">
        <v>43362</v>
      </c>
      <c r="I256" s="1">
        <v>43364</v>
      </c>
      <c r="J256">
        <v>2</v>
      </c>
    </row>
    <row r="257" spans="1:10" x14ac:dyDescent="0.25">
      <c r="A257">
        <v>275281</v>
      </c>
      <c r="B257">
        <v>985245</v>
      </c>
      <c r="C257" t="s">
        <v>13</v>
      </c>
      <c r="D257">
        <v>282</v>
      </c>
      <c r="E257">
        <v>1410</v>
      </c>
      <c r="F257">
        <v>705</v>
      </c>
      <c r="G257">
        <v>705</v>
      </c>
      <c r="H257" s="1">
        <v>43360</v>
      </c>
      <c r="I257" s="1">
        <v>43364</v>
      </c>
      <c r="J257">
        <v>4</v>
      </c>
    </row>
    <row r="258" spans="1:10" x14ac:dyDescent="0.25">
      <c r="A258">
        <v>901516</v>
      </c>
      <c r="B258">
        <v>785432</v>
      </c>
      <c r="C258" t="s">
        <v>14</v>
      </c>
      <c r="D258">
        <v>290</v>
      </c>
      <c r="E258">
        <v>1450</v>
      </c>
      <c r="F258">
        <v>725</v>
      </c>
      <c r="G258">
        <v>725</v>
      </c>
      <c r="H258" s="1">
        <v>43359</v>
      </c>
      <c r="I258" s="1">
        <v>43364</v>
      </c>
      <c r="J258">
        <v>5</v>
      </c>
    </row>
    <row r="259" spans="1:10" x14ac:dyDescent="0.25">
      <c r="A259">
        <v>609065</v>
      </c>
      <c r="B259">
        <v>152689</v>
      </c>
      <c r="C259" t="s">
        <v>11</v>
      </c>
      <c r="D259">
        <v>836</v>
      </c>
      <c r="E259">
        <v>4180</v>
      </c>
      <c r="F259">
        <v>2090</v>
      </c>
      <c r="G259">
        <v>2090</v>
      </c>
      <c r="H259" s="1">
        <v>43359</v>
      </c>
      <c r="I259" s="1">
        <v>43364</v>
      </c>
      <c r="J259">
        <v>5</v>
      </c>
    </row>
    <row r="260" spans="1:10" x14ac:dyDescent="0.25">
      <c r="A260">
        <v>480756</v>
      </c>
      <c r="B260">
        <v>152689</v>
      </c>
      <c r="C260" t="s">
        <v>11</v>
      </c>
      <c r="D260">
        <v>92</v>
      </c>
      <c r="E260">
        <v>460</v>
      </c>
      <c r="F260">
        <v>230</v>
      </c>
      <c r="G260">
        <v>230</v>
      </c>
      <c r="H260" s="1">
        <v>43359</v>
      </c>
      <c r="I260" s="1">
        <v>43364</v>
      </c>
      <c r="J260">
        <v>5</v>
      </c>
    </row>
    <row r="261" spans="1:10" x14ac:dyDescent="0.25">
      <c r="A261">
        <v>995565</v>
      </c>
      <c r="B261">
        <v>152689</v>
      </c>
      <c r="C261" t="s">
        <v>11</v>
      </c>
      <c r="D261">
        <v>187</v>
      </c>
      <c r="E261">
        <v>935</v>
      </c>
      <c r="F261">
        <v>467.5</v>
      </c>
      <c r="G261">
        <v>467.5</v>
      </c>
      <c r="H261" s="1">
        <v>43358</v>
      </c>
      <c r="I261" s="1">
        <v>43363</v>
      </c>
      <c r="J261">
        <v>5</v>
      </c>
    </row>
    <row r="262" spans="1:10" x14ac:dyDescent="0.25">
      <c r="A262">
        <v>193164</v>
      </c>
      <c r="B262">
        <v>152689</v>
      </c>
      <c r="C262" t="s">
        <v>11</v>
      </c>
      <c r="D262">
        <v>650</v>
      </c>
      <c r="E262">
        <v>3250</v>
      </c>
      <c r="F262">
        <v>1625</v>
      </c>
      <c r="G262">
        <v>1625</v>
      </c>
      <c r="H262" s="1">
        <v>43358</v>
      </c>
      <c r="I262" s="1">
        <v>43363</v>
      </c>
      <c r="J262">
        <v>5</v>
      </c>
    </row>
    <row r="263" spans="1:10" x14ac:dyDescent="0.25">
      <c r="A263">
        <v>603177</v>
      </c>
      <c r="B263">
        <v>152689</v>
      </c>
      <c r="C263" t="s">
        <v>11</v>
      </c>
      <c r="D263">
        <v>373</v>
      </c>
      <c r="E263">
        <v>1865</v>
      </c>
      <c r="F263">
        <v>932.5</v>
      </c>
      <c r="G263">
        <v>932.5</v>
      </c>
      <c r="H263" s="1">
        <v>43357</v>
      </c>
      <c r="I263" s="1">
        <v>43363</v>
      </c>
      <c r="J263">
        <v>6</v>
      </c>
    </row>
    <row r="264" spans="1:10" x14ac:dyDescent="0.25">
      <c r="A264">
        <v>677188</v>
      </c>
      <c r="B264">
        <v>325698</v>
      </c>
      <c r="C264" t="s">
        <v>15</v>
      </c>
      <c r="D264">
        <v>797</v>
      </c>
      <c r="E264">
        <v>3985</v>
      </c>
      <c r="F264">
        <v>1992.5</v>
      </c>
      <c r="G264">
        <v>1992.5</v>
      </c>
      <c r="H264" s="1">
        <v>43359</v>
      </c>
      <c r="I264" s="1">
        <v>43361</v>
      </c>
      <c r="J264">
        <v>2</v>
      </c>
    </row>
    <row r="265" spans="1:10" x14ac:dyDescent="0.25">
      <c r="A265">
        <v>804552</v>
      </c>
      <c r="B265">
        <v>785432</v>
      </c>
      <c r="C265" t="s">
        <v>14</v>
      </c>
      <c r="D265">
        <v>916</v>
      </c>
      <c r="E265">
        <v>4580</v>
      </c>
      <c r="F265">
        <v>2290</v>
      </c>
      <c r="G265">
        <v>2290</v>
      </c>
      <c r="H265" s="1">
        <v>43355</v>
      </c>
      <c r="I265" s="1">
        <v>43360</v>
      </c>
      <c r="J265">
        <v>5</v>
      </c>
    </row>
    <row r="266" spans="1:10" x14ac:dyDescent="0.25">
      <c r="A266">
        <v>502280</v>
      </c>
      <c r="B266">
        <v>325698</v>
      </c>
      <c r="C266" t="s">
        <v>15</v>
      </c>
      <c r="D266">
        <v>165</v>
      </c>
      <c r="E266">
        <v>825</v>
      </c>
      <c r="F266">
        <v>412.5</v>
      </c>
      <c r="G266">
        <v>412.5</v>
      </c>
      <c r="H266" s="1">
        <v>43357</v>
      </c>
      <c r="I266" s="1">
        <v>43359</v>
      </c>
      <c r="J266">
        <v>2</v>
      </c>
    </row>
    <row r="267" spans="1:10" x14ac:dyDescent="0.25">
      <c r="A267">
        <v>450196</v>
      </c>
      <c r="B267">
        <v>785432</v>
      </c>
      <c r="C267" t="s">
        <v>14</v>
      </c>
      <c r="D267">
        <v>803</v>
      </c>
      <c r="E267">
        <v>4015</v>
      </c>
      <c r="F267">
        <v>2007.5</v>
      </c>
      <c r="G267">
        <v>2007.5</v>
      </c>
      <c r="H267" s="1">
        <v>43354</v>
      </c>
      <c r="I267" s="1">
        <v>43359</v>
      </c>
      <c r="J267">
        <v>5</v>
      </c>
    </row>
    <row r="268" spans="1:10" x14ac:dyDescent="0.25">
      <c r="A268">
        <v>940496</v>
      </c>
      <c r="B268">
        <v>785432</v>
      </c>
      <c r="C268" t="s">
        <v>14</v>
      </c>
      <c r="D268">
        <v>968</v>
      </c>
      <c r="E268">
        <v>4840</v>
      </c>
      <c r="F268">
        <v>2420</v>
      </c>
      <c r="G268">
        <v>2420</v>
      </c>
      <c r="H268" s="1">
        <v>43354</v>
      </c>
      <c r="I268" s="1">
        <v>43359</v>
      </c>
      <c r="J268">
        <v>5</v>
      </c>
    </row>
    <row r="269" spans="1:10" x14ac:dyDescent="0.25">
      <c r="A269">
        <v>549422</v>
      </c>
      <c r="B269">
        <v>152689</v>
      </c>
      <c r="C269" t="s">
        <v>11</v>
      </c>
      <c r="D269">
        <v>569</v>
      </c>
      <c r="E269">
        <v>2845</v>
      </c>
      <c r="F269">
        <v>1422.5</v>
      </c>
      <c r="G269">
        <v>1422.5</v>
      </c>
      <c r="H269" s="1">
        <v>43354</v>
      </c>
      <c r="I269" s="1">
        <v>43359</v>
      </c>
      <c r="J269">
        <v>5</v>
      </c>
    </row>
    <row r="270" spans="1:10" x14ac:dyDescent="0.25">
      <c r="A270">
        <v>885378</v>
      </c>
      <c r="B270">
        <v>452584</v>
      </c>
      <c r="C270" t="s">
        <v>12</v>
      </c>
      <c r="D270">
        <v>525</v>
      </c>
      <c r="E270">
        <v>2625</v>
      </c>
      <c r="F270">
        <v>1312.5</v>
      </c>
      <c r="G270">
        <v>1312.5</v>
      </c>
      <c r="H270" s="1">
        <v>43356</v>
      </c>
      <c r="I270" s="1">
        <v>43358</v>
      </c>
      <c r="J270">
        <v>2</v>
      </c>
    </row>
    <row r="271" spans="1:10" x14ac:dyDescent="0.25">
      <c r="A271">
        <v>670661</v>
      </c>
      <c r="B271">
        <v>985245</v>
      </c>
      <c r="C271" t="s">
        <v>13</v>
      </c>
      <c r="D271">
        <v>231</v>
      </c>
      <c r="E271">
        <v>1155</v>
      </c>
      <c r="F271">
        <v>577.5</v>
      </c>
      <c r="G271">
        <v>577.5</v>
      </c>
      <c r="H271" s="1">
        <v>43354</v>
      </c>
      <c r="I271" s="1">
        <v>43358</v>
      </c>
      <c r="J271">
        <v>4</v>
      </c>
    </row>
    <row r="272" spans="1:10" x14ac:dyDescent="0.25">
      <c r="A272">
        <v>516696</v>
      </c>
      <c r="B272">
        <v>325698</v>
      </c>
      <c r="C272" t="s">
        <v>15</v>
      </c>
      <c r="D272">
        <v>453</v>
      </c>
      <c r="E272">
        <v>2265</v>
      </c>
      <c r="F272">
        <v>1132.5</v>
      </c>
      <c r="G272">
        <v>1132.5</v>
      </c>
      <c r="H272" s="1">
        <v>43354</v>
      </c>
      <c r="I272" s="1">
        <v>43356</v>
      </c>
      <c r="J272">
        <v>2</v>
      </c>
    </row>
    <row r="273" spans="1:10" x14ac:dyDescent="0.25">
      <c r="A273">
        <v>418129</v>
      </c>
      <c r="B273">
        <v>985245</v>
      </c>
      <c r="C273" t="s">
        <v>13</v>
      </c>
      <c r="D273">
        <v>612</v>
      </c>
      <c r="E273">
        <v>3060</v>
      </c>
      <c r="F273">
        <v>1530</v>
      </c>
      <c r="G273">
        <v>1530</v>
      </c>
      <c r="H273" s="1">
        <v>43352</v>
      </c>
      <c r="I273" s="1">
        <v>43356</v>
      </c>
      <c r="J273">
        <v>4</v>
      </c>
    </row>
    <row r="274" spans="1:10" x14ac:dyDescent="0.25">
      <c r="A274">
        <v>663618</v>
      </c>
      <c r="B274">
        <v>325698</v>
      </c>
      <c r="C274" t="s">
        <v>15</v>
      </c>
      <c r="D274">
        <v>915</v>
      </c>
      <c r="E274">
        <v>4575</v>
      </c>
      <c r="F274">
        <v>2287.5</v>
      </c>
      <c r="G274">
        <v>2287.5</v>
      </c>
      <c r="H274" s="1">
        <v>43353</v>
      </c>
      <c r="I274" s="1">
        <v>43355</v>
      </c>
      <c r="J274">
        <v>2</v>
      </c>
    </row>
    <row r="275" spans="1:10" x14ac:dyDescent="0.25">
      <c r="A275">
        <v>799856</v>
      </c>
      <c r="B275">
        <v>325698</v>
      </c>
      <c r="C275" t="s">
        <v>15</v>
      </c>
      <c r="D275">
        <v>592</v>
      </c>
      <c r="E275">
        <v>2960</v>
      </c>
      <c r="F275">
        <v>1480</v>
      </c>
      <c r="G275">
        <v>1480</v>
      </c>
      <c r="H275" s="1">
        <v>43353</v>
      </c>
      <c r="I275" s="1">
        <v>43355</v>
      </c>
      <c r="J275">
        <v>2</v>
      </c>
    </row>
    <row r="276" spans="1:10" x14ac:dyDescent="0.25">
      <c r="A276">
        <v>937139</v>
      </c>
      <c r="B276">
        <v>985245</v>
      </c>
      <c r="C276" t="s">
        <v>13</v>
      </c>
      <c r="D276">
        <v>154</v>
      </c>
      <c r="E276">
        <v>770</v>
      </c>
      <c r="F276">
        <v>385</v>
      </c>
      <c r="G276">
        <v>385</v>
      </c>
      <c r="H276" s="1">
        <v>43352</v>
      </c>
      <c r="I276" s="1">
        <v>43355</v>
      </c>
      <c r="J276">
        <v>3</v>
      </c>
    </row>
    <row r="277" spans="1:10" x14ac:dyDescent="0.25">
      <c r="A277">
        <v>164458</v>
      </c>
      <c r="B277">
        <v>985245</v>
      </c>
      <c r="C277" t="s">
        <v>13</v>
      </c>
      <c r="D277">
        <v>534</v>
      </c>
      <c r="E277">
        <v>2670</v>
      </c>
      <c r="F277">
        <v>1335</v>
      </c>
      <c r="G277">
        <v>1335</v>
      </c>
      <c r="H277" s="1">
        <v>43351</v>
      </c>
      <c r="I277" s="1">
        <v>43355</v>
      </c>
      <c r="J277">
        <v>4</v>
      </c>
    </row>
    <row r="278" spans="1:10" x14ac:dyDescent="0.25">
      <c r="A278">
        <v>975910</v>
      </c>
      <c r="B278">
        <v>985245</v>
      </c>
      <c r="C278" t="s">
        <v>13</v>
      </c>
      <c r="D278">
        <v>101</v>
      </c>
      <c r="E278">
        <v>505</v>
      </c>
      <c r="F278">
        <v>252.5</v>
      </c>
      <c r="G278">
        <v>252.5</v>
      </c>
      <c r="H278" s="1">
        <v>43351</v>
      </c>
      <c r="I278" s="1">
        <v>43355</v>
      </c>
      <c r="J278">
        <v>4</v>
      </c>
    </row>
    <row r="279" spans="1:10" x14ac:dyDescent="0.25">
      <c r="A279">
        <v>435407</v>
      </c>
      <c r="B279">
        <v>152689</v>
      </c>
      <c r="C279" t="s">
        <v>11</v>
      </c>
      <c r="D279">
        <v>459</v>
      </c>
      <c r="E279">
        <v>2295</v>
      </c>
      <c r="F279">
        <v>1147.5</v>
      </c>
      <c r="G279">
        <v>1147.5</v>
      </c>
      <c r="H279" s="1">
        <v>43350</v>
      </c>
      <c r="I279" s="1">
        <v>43355</v>
      </c>
      <c r="J279">
        <v>5</v>
      </c>
    </row>
    <row r="280" spans="1:10" x14ac:dyDescent="0.25">
      <c r="A280">
        <v>758909</v>
      </c>
      <c r="B280">
        <v>152689</v>
      </c>
      <c r="C280" t="s">
        <v>11</v>
      </c>
      <c r="D280">
        <v>706</v>
      </c>
      <c r="E280">
        <v>3530</v>
      </c>
      <c r="F280">
        <v>1765</v>
      </c>
      <c r="G280">
        <v>1765</v>
      </c>
      <c r="H280" s="1">
        <v>43350</v>
      </c>
      <c r="I280" s="1">
        <v>43355</v>
      </c>
      <c r="J280">
        <v>5</v>
      </c>
    </row>
    <row r="281" spans="1:10" x14ac:dyDescent="0.25">
      <c r="A281">
        <v>783025</v>
      </c>
      <c r="B281">
        <v>325698</v>
      </c>
      <c r="C281" t="s">
        <v>15</v>
      </c>
      <c r="D281">
        <v>992</v>
      </c>
      <c r="E281">
        <v>4960</v>
      </c>
      <c r="F281">
        <v>2480</v>
      </c>
      <c r="G281">
        <v>2480</v>
      </c>
      <c r="H281" s="1">
        <v>43352</v>
      </c>
      <c r="I281" s="1">
        <v>43354</v>
      </c>
      <c r="J281">
        <v>2</v>
      </c>
    </row>
    <row r="282" spans="1:10" x14ac:dyDescent="0.25">
      <c r="A282">
        <v>975890</v>
      </c>
      <c r="B282">
        <v>325698</v>
      </c>
      <c r="C282" t="s">
        <v>15</v>
      </c>
      <c r="D282">
        <v>822</v>
      </c>
      <c r="E282">
        <v>4110</v>
      </c>
      <c r="F282">
        <v>2055</v>
      </c>
      <c r="G282">
        <v>2055</v>
      </c>
      <c r="H282" s="1">
        <v>43352</v>
      </c>
      <c r="I282" s="1">
        <v>43354</v>
      </c>
      <c r="J282">
        <v>2</v>
      </c>
    </row>
    <row r="283" spans="1:10" x14ac:dyDescent="0.25">
      <c r="A283">
        <v>880040</v>
      </c>
      <c r="B283">
        <v>325698</v>
      </c>
      <c r="C283" t="s">
        <v>15</v>
      </c>
      <c r="D283">
        <v>751</v>
      </c>
      <c r="E283">
        <v>3755</v>
      </c>
      <c r="F283">
        <v>1877.5</v>
      </c>
      <c r="G283">
        <v>1877.5</v>
      </c>
      <c r="H283" s="1">
        <v>43352</v>
      </c>
      <c r="I283" s="1">
        <v>43354</v>
      </c>
      <c r="J283">
        <v>2</v>
      </c>
    </row>
    <row r="284" spans="1:10" x14ac:dyDescent="0.25">
      <c r="A284">
        <v>540229</v>
      </c>
      <c r="B284">
        <v>985245</v>
      </c>
      <c r="C284" t="s">
        <v>13</v>
      </c>
      <c r="D284">
        <v>777</v>
      </c>
      <c r="E284">
        <v>3885</v>
      </c>
      <c r="F284">
        <v>1942.5</v>
      </c>
      <c r="G284">
        <v>1942.5</v>
      </c>
      <c r="H284" s="1">
        <v>43349</v>
      </c>
      <c r="I284" s="1">
        <v>43353</v>
      </c>
      <c r="J284">
        <v>4</v>
      </c>
    </row>
    <row r="285" spans="1:10" x14ac:dyDescent="0.25">
      <c r="A285">
        <v>124833</v>
      </c>
      <c r="B285">
        <v>325698</v>
      </c>
      <c r="C285" t="s">
        <v>15</v>
      </c>
      <c r="D285">
        <v>279</v>
      </c>
      <c r="E285">
        <v>1395</v>
      </c>
      <c r="F285">
        <v>697.5</v>
      </c>
      <c r="G285">
        <v>697.5</v>
      </c>
      <c r="H285" s="1">
        <v>43350</v>
      </c>
      <c r="I285" s="1">
        <v>43352</v>
      </c>
      <c r="J285">
        <v>2</v>
      </c>
    </row>
    <row r="286" spans="1:10" x14ac:dyDescent="0.25">
      <c r="A286">
        <v>122744</v>
      </c>
      <c r="B286">
        <v>152689</v>
      </c>
      <c r="C286" t="s">
        <v>11</v>
      </c>
      <c r="D286">
        <v>382</v>
      </c>
      <c r="E286">
        <v>1910</v>
      </c>
      <c r="F286">
        <v>955</v>
      </c>
      <c r="G286">
        <v>955</v>
      </c>
      <c r="H286" s="1">
        <v>43347</v>
      </c>
      <c r="I286" s="1">
        <v>43352</v>
      </c>
      <c r="J286">
        <v>5</v>
      </c>
    </row>
    <row r="287" spans="1:10" x14ac:dyDescent="0.25">
      <c r="A287">
        <v>191118</v>
      </c>
      <c r="B287">
        <v>325698</v>
      </c>
      <c r="C287" t="s">
        <v>15</v>
      </c>
      <c r="D287">
        <v>91</v>
      </c>
      <c r="E287">
        <v>455</v>
      </c>
      <c r="F287">
        <v>227.5</v>
      </c>
      <c r="G287">
        <v>227.5</v>
      </c>
      <c r="H287" s="1">
        <v>43348</v>
      </c>
      <c r="I287" s="1">
        <v>43351</v>
      </c>
      <c r="J287">
        <v>3</v>
      </c>
    </row>
    <row r="288" spans="1:10" x14ac:dyDescent="0.25">
      <c r="A288">
        <v>412865</v>
      </c>
      <c r="B288">
        <v>985245</v>
      </c>
      <c r="C288" t="s">
        <v>13</v>
      </c>
      <c r="D288">
        <v>568</v>
      </c>
      <c r="E288">
        <v>2840</v>
      </c>
      <c r="F288">
        <v>1420</v>
      </c>
      <c r="G288">
        <v>1420</v>
      </c>
      <c r="H288" s="1">
        <v>43347</v>
      </c>
      <c r="I288" s="1">
        <v>43351</v>
      </c>
      <c r="J288">
        <v>4</v>
      </c>
    </row>
    <row r="289" spans="1:10" x14ac:dyDescent="0.25">
      <c r="A289">
        <v>968423</v>
      </c>
      <c r="B289">
        <v>152689</v>
      </c>
      <c r="C289" t="s">
        <v>11</v>
      </c>
      <c r="D289">
        <v>179</v>
      </c>
      <c r="E289">
        <v>895</v>
      </c>
      <c r="F289">
        <v>447.5</v>
      </c>
      <c r="G289">
        <v>447.5</v>
      </c>
      <c r="H289" s="1">
        <v>43346</v>
      </c>
      <c r="I289" s="1">
        <v>43351</v>
      </c>
      <c r="J289">
        <v>5</v>
      </c>
    </row>
    <row r="290" spans="1:10" x14ac:dyDescent="0.25">
      <c r="A290">
        <v>658035</v>
      </c>
      <c r="B290">
        <v>325698</v>
      </c>
      <c r="C290" t="s">
        <v>15</v>
      </c>
      <c r="D290">
        <v>544</v>
      </c>
      <c r="E290">
        <v>2720</v>
      </c>
      <c r="F290">
        <v>1360</v>
      </c>
      <c r="G290">
        <v>1360</v>
      </c>
      <c r="H290" s="1">
        <v>43347</v>
      </c>
      <c r="I290" s="1">
        <v>43350</v>
      </c>
      <c r="J290">
        <v>3</v>
      </c>
    </row>
    <row r="291" spans="1:10" x14ac:dyDescent="0.25">
      <c r="A291">
        <v>386225</v>
      </c>
      <c r="B291">
        <v>985245</v>
      </c>
      <c r="C291" t="s">
        <v>13</v>
      </c>
      <c r="D291">
        <v>831</v>
      </c>
      <c r="E291">
        <v>4155</v>
      </c>
      <c r="F291">
        <v>2077.5</v>
      </c>
      <c r="G291">
        <v>2077.5</v>
      </c>
      <c r="H291" s="1">
        <v>43346</v>
      </c>
      <c r="I291" s="1">
        <v>43350</v>
      </c>
      <c r="J291">
        <v>4</v>
      </c>
    </row>
    <row r="292" spans="1:10" x14ac:dyDescent="0.25">
      <c r="A292">
        <v>387621</v>
      </c>
      <c r="B292">
        <v>152689</v>
      </c>
      <c r="C292" t="s">
        <v>11</v>
      </c>
      <c r="D292">
        <v>492</v>
      </c>
      <c r="E292">
        <v>2460</v>
      </c>
      <c r="F292">
        <v>1230</v>
      </c>
      <c r="G292">
        <v>1230</v>
      </c>
      <c r="H292" s="1">
        <v>43345</v>
      </c>
      <c r="I292" s="1">
        <v>43350</v>
      </c>
      <c r="J292">
        <v>5</v>
      </c>
    </row>
    <row r="293" spans="1:10" x14ac:dyDescent="0.25">
      <c r="A293">
        <v>519219</v>
      </c>
      <c r="B293">
        <v>325698</v>
      </c>
      <c r="C293" t="s">
        <v>15</v>
      </c>
      <c r="D293">
        <v>646</v>
      </c>
      <c r="E293">
        <v>3230</v>
      </c>
      <c r="F293">
        <v>1615</v>
      </c>
      <c r="G293">
        <v>1615</v>
      </c>
      <c r="H293" s="1">
        <v>43347</v>
      </c>
      <c r="I293" s="1">
        <v>43349</v>
      </c>
      <c r="J293">
        <v>2</v>
      </c>
    </row>
    <row r="294" spans="1:10" x14ac:dyDescent="0.25">
      <c r="A294">
        <v>507500</v>
      </c>
      <c r="B294">
        <v>452584</v>
      </c>
      <c r="C294" t="s">
        <v>12</v>
      </c>
      <c r="D294">
        <v>638</v>
      </c>
      <c r="E294">
        <v>3190</v>
      </c>
      <c r="F294">
        <v>1595</v>
      </c>
      <c r="G294">
        <v>1595</v>
      </c>
      <c r="H294" s="1">
        <v>43346</v>
      </c>
      <c r="I294" s="1">
        <v>43348</v>
      </c>
      <c r="J294">
        <v>2</v>
      </c>
    </row>
    <row r="295" spans="1:10" x14ac:dyDescent="0.25">
      <c r="A295">
        <v>442381</v>
      </c>
      <c r="B295">
        <v>325698</v>
      </c>
      <c r="C295" t="s">
        <v>15</v>
      </c>
      <c r="D295">
        <v>712</v>
      </c>
      <c r="E295">
        <v>3560</v>
      </c>
      <c r="F295">
        <v>1780</v>
      </c>
      <c r="G295">
        <v>1780</v>
      </c>
      <c r="H295" s="1">
        <v>43345</v>
      </c>
      <c r="I295" s="1">
        <v>43348</v>
      </c>
      <c r="J295">
        <v>3</v>
      </c>
    </row>
    <row r="296" spans="1:10" x14ac:dyDescent="0.25">
      <c r="A296">
        <v>942552</v>
      </c>
      <c r="B296">
        <v>985245</v>
      </c>
      <c r="C296" t="s">
        <v>13</v>
      </c>
      <c r="D296">
        <v>625</v>
      </c>
      <c r="E296">
        <v>3125</v>
      </c>
      <c r="F296">
        <v>1562.5</v>
      </c>
      <c r="G296">
        <v>1562.5</v>
      </c>
      <c r="H296" s="1">
        <v>43345</v>
      </c>
      <c r="I296" s="1">
        <v>43348</v>
      </c>
      <c r="J296">
        <v>3</v>
      </c>
    </row>
    <row r="297" spans="1:10" x14ac:dyDescent="0.25">
      <c r="A297">
        <v>553770</v>
      </c>
      <c r="B297">
        <v>985245</v>
      </c>
      <c r="C297" t="s">
        <v>13</v>
      </c>
      <c r="D297">
        <v>382</v>
      </c>
      <c r="E297">
        <v>1910</v>
      </c>
      <c r="F297">
        <v>955</v>
      </c>
      <c r="G297">
        <v>955</v>
      </c>
      <c r="H297" s="1">
        <v>43343</v>
      </c>
      <c r="I297" s="1">
        <v>43347</v>
      </c>
      <c r="J297">
        <v>4</v>
      </c>
    </row>
    <row r="298" spans="1:10" x14ac:dyDescent="0.25">
      <c r="A298">
        <v>246491</v>
      </c>
      <c r="B298">
        <v>152689</v>
      </c>
      <c r="C298" t="s">
        <v>11</v>
      </c>
      <c r="D298">
        <v>909</v>
      </c>
      <c r="E298">
        <v>4545</v>
      </c>
      <c r="F298">
        <v>2272.5</v>
      </c>
      <c r="G298">
        <v>2272.5</v>
      </c>
      <c r="H298" s="1">
        <v>43341</v>
      </c>
      <c r="I298" s="1">
        <v>43346</v>
      </c>
      <c r="J298">
        <v>5</v>
      </c>
    </row>
    <row r="299" spans="1:10" x14ac:dyDescent="0.25">
      <c r="A299">
        <v>487573</v>
      </c>
      <c r="B299">
        <v>152689</v>
      </c>
      <c r="C299" t="s">
        <v>11</v>
      </c>
      <c r="D299">
        <v>680</v>
      </c>
      <c r="E299">
        <v>3400</v>
      </c>
      <c r="F299">
        <v>1700</v>
      </c>
      <c r="G299">
        <v>1700</v>
      </c>
      <c r="H299" s="1">
        <v>43341</v>
      </c>
      <c r="I299" s="1">
        <v>43346</v>
      </c>
      <c r="J299">
        <v>5</v>
      </c>
    </row>
    <row r="300" spans="1:10" x14ac:dyDescent="0.25">
      <c r="A300">
        <v>842161</v>
      </c>
      <c r="B300">
        <v>785432</v>
      </c>
      <c r="C300" t="s">
        <v>14</v>
      </c>
      <c r="D300">
        <v>204</v>
      </c>
      <c r="E300">
        <v>1020</v>
      </c>
      <c r="F300">
        <v>510</v>
      </c>
      <c r="G300">
        <v>510</v>
      </c>
      <c r="H300" s="1">
        <v>43340</v>
      </c>
      <c r="I300" s="1">
        <v>43345</v>
      </c>
      <c r="J300">
        <v>5</v>
      </c>
    </row>
    <row r="301" spans="1:10" x14ac:dyDescent="0.25">
      <c r="A301">
        <v>257370</v>
      </c>
      <c r="B301">
        <v>152689</v>
      </c>
      <c r="C301" t="s">
        <v>11</v>
      </c>
      <c r="D301">
        <v>985</v>
      </c>
      <c r="E301">
        <v>4925</v>
      </c>
      <c r="F301">
        <v>2462.5</v>
      </c>
      <c r="G301">
        <v>2462.5</v>
      </c>
      <c r="H301" s="1">
        <v>43340</v>
      </c>
      <c r="I301" s="1">
        <v>43345</v>
      </c>
      <c r="J301">
        <v>5</v>
      </c>
    </row>
    <row r="302" spans="1:10" x14ac:dyDescent="0.25">
      <c r="A302">
        <v>836039</v>
      </c>
      <c r="B302">
        <v>325698</v>
      </c>
      <c r="C302" t="s">
        <v>15</v>
      </c>
      <c r="D302">
        <v>314</v>
      </c>
      <c r="E302">
        <v>1570</v>
      </c>
      <c r="F302">
        <v>785</v>
      </c>
      <c r="G302">
        <v>785</v>
      </c>
      <c r="H302" s="1">
        <v>43342</v>
      </c>
      <c r="I302" s="1">
        <v>43344</v>
      </c>
      <c r="J302">
        <v>2</v>
      </c>
    </row>
    <row r="303" spans="1:10" x14ac:dyDescent="0.25">
      <c r="A303">
        <v>159913</v>
      </c>
      <c r="B303">
        <v>985245</v>
      </c>
      <c r="C303" t="s">
        <v>13</v>
      </c>
      <c r="D303">
        <v>836</v>
      </c>
      <c r="E303">
        <v>4180</v>
      </c>
      <c r="F303">
        <v>2090</v>
      </c>
      <c r="G303">
        <v>2090</v>
      </c>
      <c r="H303" s="1">
        <v>43340</v>
      </c>
      <c r="I303" s="1">
        <v>43344</v>
      </c>
      <c r="J303">
        <v>4</v>
      </c>
    </row>
    <row r="304" spans="1:10" x14ac:dyDescent="0.25">
      <c r="A304">
        <v>443099</v>
      </c>
      <c r="B304">
        <v>152689</v>
      </c>
      <c r="C304" t="s">
        <v>11</v>
      </c>
      <c r="D304">
        <v>739</v>
      </c>
      <c r="E304">
        <v>3695</v>
      </c>
      <c r="F304">
        <v>1847.5</v>
      </c>
      <c r="G304">
        <v>1847.5</v>
      </c>
      <c r="H304" s="1">
        <v>43339</v>
      </c>
      <c r="I304" s="1">
        <v>43344</v>
      </c>
      <c r="J304">
        <v>5</v>
      </c>
    </row>
    <row r="305" spans="1:10" x14ac:dyDescent="0.25">
      <c r="A305">
        <v>604827</v>
      </c>
      <c r="B305">
        <v>152689</v>
      </c>
      <c r="C305" t="s">
        <v>11</v>
      </c>
      <c r="D305">
        <v>611</v>
      </c>
      <c r="E305">
        <v>3055</v>
      </c>
      <c r="F305">
        <v>1527.5</v>
      </c>
      <c r="G305">
        <v>1527.5</v>
      </c>
      <c r="H305" s="1">
        <v>43338</v>
      </c>
      <c r="I305" s="1">
        <v>43344</v>
      </c>
      <c r="J305">
        <v>6</v>
      </c>
    </row>
    <row r="306" spans="1:10" x14ac:dyDescent="0.25">
      <c r="A306">
        <v>500654</v>
      </c>
      <c r="B306">
        <v>325698</v>
      </c>
      <c r="C306" t="s">
        <v>15</v>
      </c>
      <c r="D306">
        <v>617</v>
      </c>
      <c r="E306">
        <v>3085</v>
      </c>
      <c r="F306">
        <v>1542.5</v>
      </c>
      <c r="G306">
        <v>1542.5</v>
      </c>
      <c r="H306" s="1">
        <v>43341</v>
      </c>
      <c r="I306" s="1">
        <v>43343</v>
      </c>
      <c r="J306">
        <v>2</v>
      </c>
    </row>
    <row r="307" spans="1:10" x14ac:dyDescent="0.25">
      <c r="A307">
        <v>874124</v>
      </c>
      <c r="B307">
        <v>152689</v>
      </c>
      <c r="C307" t="s">
        <v>11</v>
      </c>
      <c r="D307">
        <v>581</v>
      </c>
      <c r="E307">
        <v>2905</v>
      </c>
      <c r="F307">
        <v>1452.5</v>
      </c>
      <c r="G307">
        <v>1452.5</v>
      </c>
      <c r="H307" s="1">
        <v>43338</v>
      </c>
      <c r="I307" s="1">
        <v>43343</v>
      </c>
      <c r="J307">
        <v>5</v>
      </c>
    </row>
    <row r="308" spans="1:10" x14ac:dyDescent="0.25">
      <c r="A308">
        <v>858383</v>
      </c>
      <c r="B308">
        <v>325698</v>
      </c>
      <c r="C308" t="s">
        <v>15</v>
      </c>
      <c r="D308">
        <v>764</v>
      </c>
      <c r="E308">
        <v>3820</v>
      </c>
      <c r="F308">
        <v>1910</v>
      </c>
      <c r="G308">
        <v>1910</v>
      </c>
      <c r="H308" s="1">
        <v>43339</v>
      </c>
      <c r="I308" s="1">
        <v>43342</v>
      </c>
      <c r="J308">
        <v>3</v>
      </c>
    </row>
    <row r="309" spans="1:10" x14ac:dyDescent="0.25">
      <c r="A309">
        <v>885038</v>
      </c>
      <c r="B309">
        <v>325698</v>
      </c>
      <c r="C309" t="s">
        <v>15</v>
      </c>
      <c r="D309">
        <v>474</v>
      </c>
      <c r="E309">
        <v>2370</v>
      </c>
      <c r="F309">
        <v>1185</v>
      </c>
      <c r="G309">
        <v>1185</v>
      </c>
      <c r="H309" s="1">
        <v>43339</v>
      </c>
      <c r="I309" s="1">
        <v>43342</v>
      </c>
      <c r="J309">
        <v>3</v>
      </c>
    </row>
    <row r="310" spans="1:10" x14ac:dyDescent="0.25">
      <c r="A310">
        <v>305442</v>
      </c>
      <c r="B310">
        <v>985245</v>
      </c>
      <c r="C310" t="s">
        <v>13</v>
      </c>
      <c r="D310">
        <v>419</v>
      </c>
      <c r="E310">
        <v>2095</v>
      </c>
      <c r="F310">
        <v>1047.5</v>
      </c>
      <c r="G310">
        <v>1047.5</v>
      </c>
      <c r="H310" s="1">
        <v>43338</v>
      </c>
      <c r="I310" s="1">
        <v>43341</v>
      </c>
      <c r="J310">
        <v>3</v>
      </c>
    </row>
    <row r="311" spans="1:10" x14ac:dyDescent="0.25">
      <c r="A311">
        <v>421985</v>
      </c>
      <c r="B311">
        <v>152689</v>
      </c>
      <c r="C311" t="s">
        <v>11</v>
      </c>
      <c r="D311">
        <v>281</v>
      </c>
      <c r="E311">
        <v>1405</v>
      </c>
      <c r="F311">
        <v>702.5</v>
      </c>
      <c r="G311">
        <v>702.5</v>
      </c>
      <c r="H311" s="1">
        <v>43336</v>
      </c>
      <c r="I311" s="1">
        <v>43341</v>
      </c>
      <c r="J311">
        <v>5</v>
      </c>
    </row>
    <row r="312" spans="1:10" x14ac:dyDescent="0.25">
      <c r="A312">
        <v>888093</v>
      </c>
      <c r="B312">
        <v>325698</v>
      </c>
      <c r="C312" t="s">
        <v>15</v>
      </c>
      <c r="D312">
        <v>379</v>
      </c>
      <c r="E312">
        <v>1895</v>
      </c>
      <c r="F312">
        <v>947.5</v>
      </c>
      <c r="G312">
        <v>947.5</v>
      </c>
      <c r="H312" s="1">
        <v>43337</v>
      </c>
      <c r="I312" s="1">
        <v>43340</v>
      </c>
      <c r="J312">
        <v>3</v>
      </c>
    </row>
    <row r="313" spans="1:10" x14ac:dyDescent="0.25">
      <c r="A313">
        <v>165851</v>
      </c>
      <c r="B313">
        <v>152689</v>
      </c>
      <c r="C313" t="s">
        <v>11</v>
      </c>
      <c r="D313">
        <v>931</v>
      </c>
      <c r="E313">
        <v>4655</v>
      </c>
      <c r="F313">
        <v>2327.5</v>
      </c>
      <c r="G313">
        <v>2327.5</v>
      </c>
      <c r="H313" s="1">
        <v>43335</v>
      </c>
      <c r="I313" s="1">
        <v>43340</v>
      </c>
      <c r="J313">
        <v>5</v>
      </c>
    </row>
    <row r="314" spans="1:10" x14ac:dyDescent="0.25">
      <c r="A314">
        <v>362441</v>
      </c>
      <c r="B314">
        <v>325698</v>
      </c>
      <c r="C314" t="s">
        <v>15</v>
      </c>
      <c r="D314">
        <v>804</v>
      </c>
      <c r="E314">
        <v>4020</v>
      </c>
      <c r="F314">
        <v>2010</v>
      </c>
      <c r="G314">
        <v>2010</v>
      </c>
      <c r="H314" s="1">
        <v>43337</v>
      </c>
      <c r="I314" s="1">
        <v>43339</v>
      </c>
      <c r="J314">
        <v>2</v>
      </c>
    </row>
    <row r="315" spans="1:10" x14ac:dyDescent="0.25">
      <c r="A315">
        <v>531422</v>
      </c>
      <c r="B315">
        <v>985245</v>
      </c>
      <c r="C315" t="s">
        <v>13</v>
      </c>
      <c r="D315">
        <v>137</v>
      </c>
      <c r="E315">
        <v>685</v>
      </c>
      <c r="F315">
        <v>342.5</v>
      </c>
      <c r="G315">
        <v>342.5</v>
      </c>
      <c r="H315" s="1">
        <v>43336</v>
      </c>
      <c r="I315" s="1">
        <v>43339</v>
      </c>
      <c r="J315">
        <v>3</v>
      </c>
    </row>
    <row r="316" spans="1:10" x14ac:dyDescent="0.25">
      <c r="A316">
        <v>846136</v>
      </c>
      <c r="B316">
        <v>985245</v>
      </c>
      <c r="C316" t="s">
        <v>13</v>
      </c>
      <c r="D316">
        <v>89</v>
      </c>
      <c r="E316">
        <v>445</v>
      </c>
      <c r="F316">
        <v>222.5</v>
      </c>
      <c r="G316">
        <v>222.5</v>
      </c>
      <c r="H316" s="1">
        <v>43335</v>
      </c>
      <c r="I316" s="1">
        <v>43339</v>
      </c>
      <c r="J316">
        <v>4</v>
      </c>
    </row>
    <row r="317" spans="1:10" x14ac:dyDescent="0.25">
      <c r="A317">
        <v>505016</v>
      </c>
      <c r="B317">
        <v>985245</v>
      </c>
      <c r="C317" t="s">
        <v>13</v>
      </c>
      <c r="D317">
        <v>324</v>
      </c>
      <c r="E317">
        <v>1620</v>
      </c>
      <c r="F317">
        <v>810</v>
      </c>
      <c r="G317">
        <v>810</v>
      </c>
      <c r="H317" s="1">
        <v>43335</v>
      </c>
      <c r="I317" s="1">
        <v>43338</v>
      </c>
      <c r="J317">
        <v>3</v>
      </c>
    </row>
    <row r="318" spans="1:10" x14ac:dyDescent="0.25">
      <c r="A318">
        <v>949270</v>
      </c>
      <c r="B318">
        <v>985245</v>
      </c>
      <c r="C318" t="s">
        <v>13</v>
      </c>
      <c r="D318">
        <v>903</v>
      </c>
      <c r="E318">
        <v>4515</v>
      </c>
      <c r="F318">
        <v>2257.5</v>
      </c>
      <c r="G318">
        <v>2257.5</v>
      </c>
      <c r="H318" s="1">
        <v>43334</v>
      </c>
      <c r="I318" s="1">
        <v>43338</v>
      </c>
      <c r="J318">
        <v>4</v>
      </c>
    </row>
    <row r="319" spans="1:10" x14ac:dyDescent="0.25">
      <c r="A319">
        <v>511453</v>
      </c>
      <c r="B319">
        <v>325698</v>
      </c>
      <c r="C319" t="s">
        <v>15</v>
      </c>
      <c r="D319">
        <v>608</v>
      </c>
      <c r="E319">
        <v>3040</v>
      </c>
      <c r="F319">
        <v>1520</v>
      </c>
      <c r="G319">
        <v>1520</v>
      </c>
      <c r="H319" s="1">
        <v>43335</v>
      </c>
      <c r="I319" s="1">
        <v>43337</v>
      </c>
      <c r="J319">
        <v>2</v>
      </c>
    </row>
    <row r="320" spans="1:10" x14ac:dyDescent="0.25">
      <c r="A320">
        <v>874597</v>
      </c>
      <c r="B320">
        <v>985245</v>
      </c>
      <c r="C320" t="s">
        <v>13</v>
      </c>
      <c r="D320">
        <v>98</v>
      </c>
      <c r="E320">
        <v>490</v>
      </c>
      <c r="F320">
        <v>245</v>
      </c>
      <c r="G320">
        <v>245</v>
      </c>
      <c r="H320" s="1">
        <v>43333</v>
      </c>
      <c r="I320" s="1">
        <v>43337</v>
      </c>
      <c r="J320">
        <v>4</v>
      </c>
    </row>
    <row r="321" spans="1:10" x14ac:dyDescent="0.25">
      <c r="A321">
        <v>333637</v>
      </c>
      <c r="B321">
        <v>985245</v>
      </c>
      <c r="C321" t="s">
        <v>13</v>
      </c>
      <c r="D321">
        <v>251</v>
      </c>
      <c r="E321">
        <v>1255</v>
      </c>
      <c r="F321">
        <v>627.5</v>
      </c>
      <c r="G321">
        <v>627.5</v>
      </c>
      <c r="H321" s="1">
        <v>43333</v>
      </c>
      <c r="I321" s="1">
        <v>43337</v>
      </c>
      <c r="J321">
        <v>4</v>
      </c>
    </row>
    <row r="322" spans="1:10" x14ac:dyDescent="0.25">
      <c r="A322">
        <v>689681</v>
      </c>
      <c r="B322">
        <v>325698</v>
      </c>
      <c r="C322" t="s">
        <v>15</v>
      </c>
      <c r="D322">
        <v>566</v>
      </c>
      <c r="E322">
        <v>2830</v>
      </c>
      <c r="F322">
        <v>1415</v>
      </c>
      <c r="G322">
        <v>1415</v>
      </c>
      <c r="H322" s="1">
        <v>43334</v>
      </c>
      <c r="I322" s="1">
        <v>43336</v>
      </c>
      <c r="J322">
        <v>2</v>
      </c>
    </row>
    <row r="323" spans="1:10" x14ac:dyDescent="0.25">
      <c r="A323">
        <v>561194</v>
      </c>
      <c r="B323">
        <v>985245</v>
      </c>
      <c r="C323" t="s">
        <v>13</v>
      </c>
      <c r="D323">
        <v>687</v>
      </c>
      <c r="E323">
        <v>3435</v>
      </c>
      <c r="F323">
        <v>1717.5</v>
      </c>
      <c r="G323">
        <v>1717.5</v>
      </c>
      <c r="H323" s="1">
        <v>43333</v>
      </c>
      <c r="I323" s="1">
        <v>43336</v>
      </c>
      <c r="J323">
        <v>3</v>
      </c>
    </row>
    <row r="324" spans="1:10" x14ac:dyDescent="0.25">
      <c r="A324">
        <v>126655</v>
      </c>
      <c r="B324">
        <v>325698</v>
      </c>
      <c r="C324" t="s">
        <v>15</v>
      </c>
      <c r="D324">
        <v>946</v>
      </c>
      <c r="E324">
        <v>4730</v>
      </c>
      <c r="F324">
        <v>2365</v>
      </c>
      <c r="G324">
        <v>2365</v>
      </c>
      <c r="H324" s="1">
        <v>43332</v>
      </c>
      <c r="I324" s="1">
        <v>43334</v>
      </c>
      <c r="J324">
        <v>2</v>
      </c>
    </row>
    <row r="325" spans="1:10" x14ac:dyDescent="0.25">
      <c r="A325">
        <v>225413</v>
      </c>
      <c r="B325">
        <v>152689</v>
      </c>
      <c r="C325" t="s">
        <v>11</v>
      </c>
      <c r="D325">
        <v>805</v>
      </c>
      <c r="E325">
        <v>4025</v>
      </c>
      <c r="F325">
        <v>2012.5</v>
      </c>
      <c r="G325">
        <v>2012.5</v>
      </c>
      <c r="H325" s="1">
        <v>43329</v>
      </c>
      <c r="I325" s="1">
        <v>43334</v>
      </c>
      <c r="J325">
        <v>5</v>
      </c>
    </row>
    <row r="326" spans="1:10" x14ac:dyDescent="0.25">
      <c r="A326">
        <v>898651</v>
      </c>
      <c r="B326">
        <v>325698</v>
      </c>
      <c r="C326" t="s">
        <v>15</v>
      </c>
      <c r="D326">
        <v>989</v>
      </c>
      <c r="E326">
        <v>4945</v>
      </c>
      <c r="F326">
        <v>2472.5</v>
      </c>
      <c r="G326">
        <v>2472.5</v>
      </c>
      <c r="H326" s="1">
        <v>43331</v>
      </c>
      <c r="I326" s="1">
        <v>43333</v>
      </c>
      <c r="J326">
        <v>2</v>
      </c>
    </row>
    <row r="327" spans="1:10" x14ac:dyDescent="0.25">
      <c r="A327">
        <v>987597</v>
      </c>
      <c r="B327">
        <v>325698</v>
      </c>
      <c r="C327" t="s">
        <v>15</v>
      </c>
      <c r="D327">
        <v>347</v>
      </c>
      <c r="E327">
        <v>1735</v>
      </c>
      <c r="F327">
        <v>867.5</v>
      </c>
      <c r="G327">
        <v>867.5</v>
      </c>
      <c r="H327" s="1">
        <v>43331</v>
      </c>
      <c r="I327" s="1">
        <v>43333</v>
      </c>
      <c r="J327">
        <v>2</v>
      </c>
    </row>
    <row r="328" spans="1:10" x14ac:dyDescent="0.25">
      <c r="A328">
        <v>427615</v>
      </c>
      <c r="B328">
        <v>785432</v>
      </c>
      <c r="C328" t="s">
        <v>14</v>
      </c>
      <c r="D328">
        <v>764</v>
      </c>
      <c r="E328">
        <v>3820</v>
      </c>
      <c r="F328">
        <v>1910</v>
      </c>
      <c r="G328">
        <v>1910</v>
      </c>
      <c r="H328" s="1">
        <v>43328</v>
      </c>
      <c r="I328" s="1">
        <v>43333</v>
      </c>
      <c r="J328">
        <v>5</v>
      </c>
    </row>
    <row r="329" spans="1:10" x14ac:dyDescent="0.25">
      <c r="A329">
        <v>526734</v>
      </c>
      <c r="B329">
        <v>152689</v>
      </c>
      <c r="C329" t="s">
        <v>11</v>
      </c>
      <c r="D329">
        <v>179</v>
      </c>
      <c r="E329">
        <v>895</v>
      </c>
      <c r="F329">
        <v>447.5</v>
      </c>
      <c r="G329">
        <v>447.5</v>
      </c>
      <c r="H329" s="1">
        <v>43328</v>
      </c>
      <c r="I329" s="1">
        <v>43333</v>
      </c>
      <c r="J329">
        <v>5</v>
      </c>
    </row>
    <row r="330" spans="1:10" x14ac:dyDescent="0.25">
      <c r="A330">
        <v>737085</v>
      </c>
      <c r="B330">
        <v>152689</v>
      </c>
      <c r="C330" t="s">
        <v>11</v>
      </c>
      <c r="D330">
        <v>88</v>
      </c>
      <c r="E330">
        <v>440</v>
      </c>
      <c r="F330">
        <v>220</v>
      </c>
      <c r="G330">
        <v>220</v>
      </c>
      <c r="H330" s="1">
        <v>43328</v>
      </c>
      <c r="I330" s="1">
        <v>43333</v>
      </c>
      <c r="J330">
        <v>5</v>
      </c>
    </row>
    <row r="331" spans="1:10" x14ac:dyDescent="0.25">
      <c r="A331">
        <v>728310</v>
      </c>
      <c r="B331">
        <v>152689</v>
      </c>
      <c r="C331" t="s">
        <v>11</v>
      </c>
      <c r="D331">
        <v>116</v>
      </c>
      <c r="E331">
        <v>580</v>
      </c>
      <c r="F331">
        <v>290</v>
      </c>
      <c r="G331">
        <v>290</v>
      </c>
      <c r="H331" s="1">
        <v>43327</v>
      </c>
      <c r="I331" s="1">
        <v>43333</v>
      </c>
      <c r="J331">
        <v>6</v>
      </c>
    </row>
    <row r="332" spans="1:10" x14ac:dyDescent="0.25">
      <c r="A332">
        <v>834549</v>
      </c>
      <c r="B332">
        <v>325698</v>
      </c>
      <c r="C332" t="s">
        <v>15</v>
      </c>
      <c r="D332">
        <v>673</v>
      </c>
      <c r="E332">
        <v>3365</v>
      </c>
      <c r="F332">
        <v>1682.5</v>
      </c>
      <c r="G332">
        <v>1682.5</v>
      </c>
      <c r="H332" s="1">
        <v>43330</v>
      </c>
      <c r="I332" s="1">
        <v>43332</v>
      </c>
      <c r="J332">
        <v>2</v>
      </c>
    </row>
    <row r="333" spans="1:10" x14ac:dyDescent="0.25">
      <c r="A333">
        <v>232442</v>
      </c>
      <c r="B333">
        <v>785432</v>
      </c>
      <c r="C333" t="s">
        <v>14</v>
      </c>
      <c r="D333">
        <v>330</v>
      </c>
      <c r="E333">
        <v>1650</v>
      </c>
      <c r="F333">
        <v>825</v>
      </c>
      <c r="G333">
        <v>825</v>
      </c>
      <c r="H333" s="1">
        <v>43327</v>
      </c>
      <c r="I333" s="1">
        <v>43331</v>
      </c>
      <c r="J333">
        <v>4</v>
      </c>
    </row>
    <row r="334" spans="1:10" x14ac:dyDescent="0.25">
      <c r="A334">
        <v>893677</v>
      </c>
      <c r="B334">
        <v>785432</v>
      </c>
      <c r="C334" t="s">
        <v>14</v>
      </c>
      <c r="D334">
        <v>112</v>
      </c>
      <c r="E334">
        <v>560</v>
      </c>
      <c r="F334">
        <v>280</v>
      </c>
      <c r="G334">
        <v>280</v>
      </c>
      <c r="H334" s="1">
        <v>43326</v>
      </c>
      <c r="I334" s="1">
        <v>43331</v>
      </c>
      <c r="J334">
        <v>5</v>
      </c>
    </row>
    <row r="335" spans="1:10" x14ac:dyDescent="0.25">
      <c r="A335">
        <v>308757</v>
      </c>
      <c r="B335">
        <v>325698</v>
      </c>
      <c r="C335" t="s">
        <v>15</v>
      </c>
      <c r="D335">
        <v>130</v>
      </c>
      <c r="E335">
        <v>650</v>
      </c>
      <c r="F335">
        <v>325</v>
      </c>
      <c r="G335">
        <v>325</v>
      </c>
      <c r="H335" s="1">
        <v>43328</v>
      </c>
      <c r="I335" s="1">
        <v>43330</v>
      </c>
      <c r="J335">
        <v>2</v>
      </c>
    </row>
    <row r="336" spans="1:10" x14ac:dyDescent="0.25">
      <c r="A336">
        <v>788470</v>
      </c>
      <c r="B336">
        <v>785432</v>
      </c>
      <c r="C336" t="s">
        <v>14</v>
      </c>
      <c r="D336">
        <v>452</v>
      </c>
      <c r="E336">
        <v>2260</v>
      </c>
      <c r="F336">
        <v>1130</v>
      </c>
      <c r="G336">
        <v>1130</v>
      </c>
      <c r="H336" s="1">
        <v>43325</v>
      </c>
      <c r="I336" s="1">
        <v>43330</v>
      </c>
      <c r="J336">
        <v>5</v>
      </c>
    </row>
    <row r="337" spans="1:10" x14ac:dyDescent="0.25">
      <c r="A337">
        <v>569517</v>
      </c>
      <c r="B337">
        <v>152689</v>
      </c>
      <c r="C337" t="s">
        <v>11</v>
      </c>
      <c r="D337">
        <v>682</v>
      </c>
      <c r="E337">
        <v>3410</v>
      </c>
      <c r="F337">
        <v>1705</v>
      </c>
      <c r="G337">
        <v>1705</v>
      </c>
      <c r="H337" s="1">
        <v>43325</v>
      </c>
      <c r="I337" s="1">
        <v>43330</v>
      </c>
      <c r="J337">
        <v>5</v>
      </c>
    </row>
    <row r="338" spans="1:10" x14ac:dyDescent="0.25">
      <c r="A338">
        <v>654717</v>
      </c>
      <c r="B338">
        <v>985245</v>
      </c>
      <c r="C338" t="s">
        <v>13</v>
      </c>
      <c r="D338">
        <v>205</v>
      </c>
      <c r="E338">
        <v>1025</v>
      </c>
      <c r="F338">
        <v>512.5</v>
      </c>
      <c r="G338">
        <v>512.5</v>
      </c>
      <c r="H338" s="1">
        <v>43325</v>
      </c>
      <c r="I338" s="1">
        <v>43329</v>
      </c>
      <c r="J338">
        <v>4</v>
      </c>
    </row>
    <row r="339" spans="1:10" x14ac:dyDescent="0.25">
      <c r="A339">
        <v>821916</v>
      </c>
      <c r="B339">
        <v>985245</v>
      </c>
      <c r="C339" t="s">
        <v>13</v>
      </c>
      <c r="D339">
        <v>849</v>
      </c>
      <c r="E339">
        <v>4245</v>
      </c>
      <c r="F339">
        <v>2122.5</v>
      </c>
      <c r="G339">
        <v>2122.5</v>
      </c>
      <c r="H339" s="1">
        <v>43325</v>
      </c>
      <c r="I339" s="1">
        <v>43329</v>
      </c>
      <c r="J339">
        <v>4</v>
      </c>
    </row>
    <row r="340" spans="1:10" x14ac:dyDescent="0.25">
      <c r="A340">
        <v>845088</v>
      </c>
      <c r="B340">
        <v>785432</v>
      </c>
      <c r="C340" t="s">
        <v>14</v>
      </c>
      <c r="D340">
        <v>366</v>
      </c>
      <c r="E340">
        <v>1830</v>
      </c>
      <c r="F340">
        <v>915</v>
      </c>
      <c r="G340">
        <v>915</v>
      </c>
      <c r="H340" s="1">
        <v>43324</v>
      </c>
      <c r="I340" s="1">
        <v>43329</v>
      </c>
      <c r="J340">
        <v>5</v>
      </c>
    </row>
    <row r="341" spans="1:10" x14ac:dyDescent="0.25">
      <c r="A341">
        <v>436362</v>
      </c>
      <c r="B341">
        <v>152689</v>
      </c>
      <c r="C341" t="s">
        <v>11</v>
      </c>
      <c r="D341">
        <v>671</v>
      </c>
      <c r="E341">
        <v>3355</v>
      </c>
      <c r="F341">
        <v>1677.5</v>
      </c>
      <c r="G341">
        <v>1677.5</v>
      </c>
      <c r="H341" s="1">
        <v>43323</v>
      </c>
      <c r="I341" s="1">
        <v>43329</v>
      </c>
      <c r="J341">
        <v>6</v>
      </c>
    </row>
    <row r="342" spans="1:10" x14ac:dyDescent="0.25">
      <c r="A342">
        <v>587969</v>
      </c>
      <c r="B342">
        <v>325698</v>
      </c>
      <c r="C342" t="s">
        <v>15</v>
      </c>
      <c r="D342">
        <v>903</v>
      </c>
      <c r="E342">
        <v>4515</v>
      </c>
      <c r="F342">
        <v>2257.5</v>
      </c>
      <c r="G342">
        <v>2257.5</v>
      </c>
      <c r="H342" s="1">
        <v>43326</v>
      </c>
      <c r="I342" s="1">
        <v>43328</v>
      </c>
      <c r="J342">
        <v>2</v>
      </c>
    </row>
    <row r="343" spans="1:10" x14ac:dyDescent="0.25">
      <c r="A343">
        <v>209415</v>
      </c>
      <c r="B343">
        <v>985245</v>
      </c>
      <c r="C343" t="s">
        <v>13</v>
      </c>
      <c r="D343">
        <v>155</v>
      </c>
      <c r="E343">
        <v>775</v>
      </c>
      <c r="F343">
        <v>387.5</v>
      </c>
      <c r="G343">
        <v>387.5</v>
      </c>
      <c r="H343" s="1">
        <v>43324</v>
      </c>
      <c r="I343" s="1">
        <v>43328</v>
      </c>
      <c r="J343">
        <v>4</v>
      </c>
    </row>
    <row r="344" spans="1:10" x14ac:dyDescent="0.25">
      <c r="A344">
        <v>370635</v>
      </c>
      <c r="B344">
        <v>985245</v>
      </c>
      <c r="C344" t="s">
        <v>13</v>
      </c>
      <c r="D344">
        <v>83</v>
      </c>
      <c r="E344">
        <v>415</v>
      </c>
      <c r="F344">
        <v>207.5</v>
      </c>
      <c r="G344">
        <v>207.5</v>
      </c>
      <c r="H344" s="1">
        <v>43324</v>
      </c>
      <c r="I344" s="1">
        <v>43328</v>
      </c>
      <c r="J344">
        <v>4</v>
      </c>
    </row>
    <row r="345" spans="1:10" x14ac:dyDescent="0.25">
      <c r="A345">
        <v>856395</v>
      </c>
      <c r="B345">
        <v>785432</v>
      </c>
      <c r="C345" t="s">
        <v>14</v>
      </c>
      <c r="D345">
        <v>731</v>
      </c>
      <c r="E345">
        <v>3655</v>
      </c>
      <c r="F345">
        <v>1827.5</v>
      </c>
      <c r="G345">
        <v>1827.5</v>
      </c>
      <c r="H345" s="1">
        <v>43323</v>
      </c>
      <c r="I345" s="1">
        <v>43328</v>
      </c>
      <c r="J345">
        <v>5</v>
      </c>
    </row>
    <row r="346" spans="1:10" x14ac:dyDescent="0.25">
      <c r="A346">
        <v>536500</v>
      </c>
      <c r="B346">
        <v>325698</v>
      </c>
      <c r="C346" t="s">
        <v>15</v>
      </c>
      <c r="D346">
        <v>383</v>
      </c>
      <c r="E346">
        <v>1915</v>
      </c>
      <c r="F346">
        <v>957.5</v>
      </c>
      <c r="G346">
        <v>957.5</v>
      </c>
      <c r="H346" s="1">
        <v>43325</v>
      </c>
      <c r="I346" s="1">
        <v>43327</v>
      </c>
      <c r="J346">
        <v>2</v>
      </c>
    </row>
    <row r="347" spans="1:10" x14ac:dyDescent="0.25">
      <c r="A347">
        <v>311989</v>
      </c>
      <c r="B347">
        <v>325698</v>
      </c>
      <c r="C347" t="s">
        <v>15</v>
      </c>
      <c r="D347">
        <v>108</v>
      </c>
      <c r="E347">
        <v>540</v>
      </c>
      <c r="F347">
        <v>270</v>
      </c>
      <c r="G347">
        <v>270</v>
      </c>
      <c r="H347" s="1">
        <v>43324</v>
      </c>
      <c r="I347" s="1">
        <v>43327</v>
      </c>
      <c r="J347">
        <v>3</v>
      </c>
    </row>
    <row r="348" spans="1:10" x14ac:dyDescent="0.25">
      <c r="A348">
        <v>906630</v>
      </c>
      <c r="B348">
        <v>985245</v>
      </c>
      <c r="C348" t="s">
        <v>13</v>
      </c>
      <c r="D348">
        <v>342</v>
      </c>
      <c r="E348">
        <v>1710</v>
      </c>
      <c r="F348">
        <v>855</v>
      </c>
      <c r="G348">
        <v>855</v>
      </c>
      <c r="H348" s="1">
        <v>43324</v>
      </c>
      <c r="I348" s="1">
        <v>43327</v>
      </c>
      <c r="J348">
        <v>3</v>
      </c>
    </row>
    <row r="349" spans="1:10" x14ac:dyDescent="0.25">
      <c r="A349">
        <v>400388</v>
      </c>
      <c r="B349">
        <v>985245</v>
      </c>
      <c r="C349" t="s">
        <v>13</v>
      </c>
      <c r="D349">
        <v>371</v>
      </c>
      <c r="E349">
        <v>1855</v>
      </c>
      <c r="F349">
        <v>927.5</v>
      </c>
      <c r="G349">
        <v>927.5</v>
      </c>
      <c r="H349" s="1">
        <v>43323</v>
      </c>
      <c r="I349" s="1">
        <v>43327</v>
      </c>
      <c r="J349">
        <v>4</v>
      </c>
    </row>
    <row r="350" spans="1:10" x14ac:dyDescent="0.25">
      <c r="A350">
        <v>570878</v>
      </c>
      <c r="B350">
        <v>152689</v>
      </c>
      <c r="C350" t="s">
        <v>11</v>
      </c>
      <c r="D350">
        <v>195</v>
      </c>
      <c r="E350">
        <v>975</v>
      </c>
      <c r="F350">
        <v>487.5</v>
      </c>
      <c r="G350">
        <v>487.5</v>
      </c>
      <c r="H350" s="1">
        <v>43322</v>
      </c>
      <c r="I350" s="1">
        <v>43327</v>
      </c>
      <c r="J350">
        <v>5</v>
      </c>
    </row>
    <row r="351" spans="1:10" x14ac:dyDescent="0.25">
      <c r="A351">
        <v>240025</v>
      </c>
      <c r="B351">
        <v>325698</v>
      </c>
      <c r="C351" t="s">
        <v>15</v>
      </c>
      <c r="D351">
        <v>172</v>
      </c>
      <c r="E351">
        <v>860</v>
      </c>
      <c r="F351">
        <v>430</v>
      </c>
      <c r="G351">
        <v>430</v>
      </c>
      <c r="H351" s="1">
        <v>43324</v>
      </c>
      <c r="I351" s="1">
        <v>43326</v>
      </c>
      <c r="J351">
        <v>2</v>
      </c>
    </row>
    <row r="352" spans="1:10" x14ac:dyDescent="0.25">
      <c r="A352">
        <v>523124</v>
      </c>
      <c r="B352">
        <v>985245</v>
      </c>
      <c r="C352" t="s">
        <v>13</v>
      </c>
      <c r="D352">
        <v>841</v>
      </c>
      <c r="E352">
        <v>4205</v>
      </c>
      <c r="F352">
        <v>2102.5</v>
      </c>
      <c r="G352">
        <v>2102.5</v>
      </c>
      <c r="H352" s="1">
        <v>43322</v>
      </c>
      <c r="I352" s="1">
        <v>43326</v>
      </c>
      <c r="J352">
        <v>4</v>
      </c>
    </row>
    <row r="353" spans="1:10" x14ac:dyDescent="0.25">
      <c r="A353">
        <v>836704</v>
      </c>
      <c r="B353">
        <v>152689</v>
      </c>
      <c r="C353" t="s">
        <v>11</v>
      </c>
      <c r="D353">
        <v>458</v>
      </c>
      <c r="E353">
        <v>2290</v>
      </c>
      <c r="F353">
        <v>1145</v>
      </c>
      <c r="G353">
        <v>1145</v>
      </c>
      <c r="H353" s="1">
        <v>43319</v>
      </c>
      <c r="I353" s="1">
        <v>43324</v>
      </c>
      <c r="J353">
        <v>5</v>
      </c>
    </row>
    <row r="354" spans="1:10" x14ac:dyDescent="0.25">
      <c r="A354">
        <v>143151</v>
      </c>
      <c r="B354">
        <v>152689</v>
      </c>
      <c r="C354" t="s">
        <v>11</v>
      </c>
      <c r="D354">
        <v>422</v>
      </c>
      <c r="E354">
        <v>2110</v>
      </c>
      <c r="F354">
        <v>1055</v>
      </c>
      <c r="G354">
        <v>1055</v>
      </c>
      <c r="H354" s="1">
        <v>43319</v>
      </c>
      <c r="I354" s="1">
        <v>43324</v>
      </c>
      <c r="J354">
        <v>5</v>
      </c>
    </row>
    <row r="355" spans="1:10" x14ac:dyDescent="0.25">
      <c r="A355">
        <v>465167</v>
      </c>
      <c r="B355">
        <v>452584</v>
      </c>
      <c r="C355" t="s">
        <v>12</v>
      </c>
      <c r="D355">
        <v>310</v>
      </c>
      <c r="E355">
        <v>1550</v>
      </c>
      <c r="F355">
        <v>775</v>
      </c>
      <c r="G355">
        <v>775</v>
      </c>
      <c r="H355" s="1">
        <v>43321</v>
      </c>
      <c r="I355" s="1">
        <v>43323</v>
      </c>
      <c r="J355">
        <v>2</v>
      </c>
    </row>
    <row r="356" spans="1:10" x14ac:dyDescent="0.25">
      <c r="A356">
        <v>593456</v>
      </c>
      <c r="B356">
        <v>452584</v>
      </c>
      <c r="C356" t="s">
        <v>12</v>
      </c>
      <c r="D356">
        <v>388</v>
      </c>
      <c r="E356">
        <v>1940</v>
      </c>
      <c r="F356">
        <v>970</v>
      </c>
      <c r="G356">
        <v>970</v>
      </c>
      <c r="H356" s="1">
        <v>43321</v>
      </c>
      <c r="I356" s="1">
        <v>43323</v>
      </c>
      <c r="J356">
        <v>2</v>
      </c>
    </row>
    <row r="357" spans="1:10" x14ac:dyDescent="0.25">
      <c r="A357">
        <v>786485</v>
      </c>
      <c r="B357">
        <v>985245</v>
      </c>
      <c r="C357" t="s">
        <v>13</v>
      </c>
      <c r="D357">
        <v>901</v>
      </c>
      <c r="E357">
        <v>4505</v>
      </c>
      <c r="F357">
        <v>2252.5</v>
      </c>
      <c r="G357">
        <v>2252.5</v>
      </c>
      <c r="H357" s="1">
        <v>43319</v>
      </c>
      <c r="I357" s="1">
        <v>43323</v>
      </c>
      <c r="J357">
        <v>4</v>
      </c>
    </row>
    <row r="358" spans="1:10" x14ac:dyDescent="0.25">
      <c r="A358">
        <v>315245</v>
      </c>
      <c r="B358">
        <v>325698</v>
      </c>
      <c r="C358" t="s">
        <v>15</v>
      </c>
      <c r="D358">
        <v>186</v>
      </c>
      <c r="E358">
        <v>930</v>
      </c>
      <c r="F358">
        <v>465</v>
      </c>
      <c r="G358">
        <v>465</v>
      </c>
      <c r="H358" s="1">
        <v>43320</v>
      </c>
      <c r="I358" s="1">
        <v>43322</v>
      </c>
      <c r="J358">
        <v>2</v>
      </c>
    </row>
    <row r="359" spans="1:10" x14ac:dyDescent="0.25">
      <c r="A359">
        <v>843273</v>
      </c>
      <c r="B359">
        <v>325698</v>
      </c>
      <c r="C359" t="s">
        <v>15</v>
      </c>
      <c r="D359">
        <v>261</v>
      </c>
      <c r="E359">
        <v>1305</v>
      </c>
      <c r="F359">
        <v>652.5</v>
      </c>
      <c r="G359">
        <v>652.5</v>
      </c>
      <c r="H359" s="1">
        <v>43320</v>
      </c>
      <c r="I359" s="1">
        <v>43322</v>
      </c>
      <c r="J359">
        <v>2</v>
      </c>
    </row>
    <row r="360" spans="1:10" x14ac:dyDescent="0.25">
      <c r="A360">
        <v>753314</v>
      </c>
      <c r="B360">
        <v>325698</v>
      </c>
      <c r="C360" t="s">
        <v>15</v>
      </c>
      <c r="D360">
        <v>915</v>
      </c>
      <c r="E360">
        <v>4575</v>
      </c>
      <c r="F360">
        <v>2287.5</v>
      </c>
      <c r="G360">
        <v>2287.5</v>
      </c>
      <c r="H360" s="1">
        <v>43319</v>
      </c>
      <c r="I360" s="1">
        <v>43321</v>
      </c>
      <c r="J360">
        <v>2</v>
      </c>
    </row>
    <row r="361" spans="1:10" x14ac:dyDescent="0.25">
      <c r="A361">
        <v>843097</v>
      </c>
      <c r="B361">
        <v>325698</v>
      </c>
      <c r="C361" t="s">
        <v>15</v>
      </c>
      <c r="D361">
        <v>693</v>
      </c>
      <c r="E361">
        <v>3465</v>
      </c>
      <c r="F361">
        <v>1732.5</v>
      </c>
      <c r="G361">
        <v>1732.5</v>
      </c>
      <c r="H361" s="1">
        <v>43319</v>
      </c>
      <c r="I361" s="1">
        <v>43321</v>
      </c>
      <c r="J361">
        <v>2</v>
      </c>
    </row>
    <row r="362" spans="1:10" x14ac:dyDescent="0.25">
      <c r="A362">
        <v>235332</v>
      </c>
      <c r="B362">
        <v>325698</v>
      </c>
      <c r="C362" t="s">
        <v>15</v>
      </c>
      <c r="D362">
        <v>428</v>
      </c>
      <c r="E362">
        <v>2140</v>
      </c>
      <c r="F362">
        <v>1070</v>
      </c>
      <c r="G362">
        <v>1070</v>
      </c>
      <c r="H362" s="1">
        <v>43319</v>
      </c>
      <c r="I362" s="1">
        <v>43321</v>
      </c>
      <c r="J362">
        <v>2</v>
      </c>
    </row>
    <row r="363" spans="1:10" x14ac:dyDescent="0.25">
      <c r="A363">
        <v>582261</v>
      </c>
      <c r="B363">
        <v>785432</v>
      </c>
      <c r="C363" t="s">
        <v>14</v>
      </c>
      <c r="D363">
        <v>571</v>
      </c>
      <c r="E363">
        <v>2855</v>
      </c>
      <c r="F363">
        <v>1427.5</v>
      </c>
      <c r="G363">
        <v>1427.5</v>
      </c>
      <c r="H363" s="1">
        <v>43315</v>
      </c>
      <c r="I363" s="1">
        <v>43320</v>
      </c>
      <c r="J363">
        <v>5</v>
      </c>
    </row>
    <row r="364" spans="1:10" x14ac:dyDescent="0.25">
      <c r="A364">
        <v>662851</v>
      </c>
      <c r="B364">
        <v>785432</v>
      </c>
      <c r="C364" t="s">
        <v>14</v>
      </c>
      <c r="D364">
        <v>171</v>
      </c>
      <c r="E364">
        <v>855</v>
      </c>
      <c r="F364">
        <v>427.5</v>
      </c>
      <c r="G364">
        <v>427.5</v>
      </c>
      <c r="H364" s="1">
        <v>43315</v>
      </c>
      <c r="I364" s="1">
        <v>43320</v>
      </c>
      <c r="J364">
        <v>5</v>
      </c>
    </row>
    <row r="365" spans="1:10" x14ac:dyDescent="0.25">
      <c r="A365">
        <v>862799</v>
      </c>
      <c r="B365">
        <v>152689</v>
      </c>
      <c r="C365" t="s">
        <v>11</v>
      </c>
      <c r="D365">
        <v>264</v>
      </c>
      <c r="E365">
        <v>1320</v>
      </c>
      <c r="F365">
        <v>660</v>
      </c>
      <c r="G365">
        <v>660</v>
      </c>
      <c r="H365" s="1">
        <v>43315</v>
      </c>
      <c r="I365" s="1">
        <v>43320</v>
      </c>
      <c r="J365">
        <v>5</v>
      </c>
    </row>
    <row r="366" spans="1:10" x14ac:dyDescent="0.25">
      <c r="A366">
        <v>940577</v>
      </c>
      <c r="B366">
        <v>785432</v>
      </c>
      <c r="C366" t="s">
        <v>14</v>
      </c>
      <c r="D366">
        <v>773</v>
      </c>
      <c r="E366">
        <v>3865</v>
      </c>
      <c r="F366">
        <v>1932.5</v>
      </c>
      <c r="G366">
        <v>1932.5</v>
      </c>
      <c r="H366" s="1">
        <v>43315</v>
      </c>
      <c r="I366" s="1">
        <v>43319</v>
      </c>
      <c r="J366">
        <v>4</v>
      </c>
    </row>
    <row r="367" spans="1:10" x14ac:dyDescent="0.25">
      <c r="A367">
        <v>364327</v>
      </c>
      <c r="B367">
        <v>785432</v>
      </c>
      <c r="C367" t="s">
        <v>14</v>
      </c>
      <c r="D367">
        <v>483</v>
      </c>
      <c r="E367">
        <v>2415</v>
      </c>
      <c r="F367">
        <v>1207.5</v>
      </c>
      <c r="G367">
        <v>1207.5</v>
      </c>
      <c r="H367" s="1">
        <v>43315</v>
      </c>
      <c r="I367" s="1">
        <v>43319</v>
      </c>
      <c r="J367">
        <v>4</v>
      </c>
    </row>
    <row r="368" spans="1:10" x14ac:dyDescent="0.25">
      <c r="A368">
        <v>594877</v>
      </c>
      <c r="B368">
        <v>325698</v>
      </c>
      <c r="C368" t="s">
        <v>15</v>
      </c>
      <c r="D368">
        <v>93</v>
      </c>
      <c r="E368">
        <v>465</v>
      </c>
      <c r="F368">
        <v>232.5</v>
      </c>
      <c r="G368">
        <v>232.5</v>
      </c>
      <c r="H368" s="1">
        <v>43316</v>
      </c>
      <c r="I368" s="1">
        <v>43318</v>
      </c>
      <c r="J368">
        <v>2</v>
      </c>
    </row>
    <row r="369" spans="1:10" x14ac:dyDescent="0.25">
      <c r="A369">
        <v>396702</v>
      </c>
      <c r="B369">
        <v>985245</v>
      </c>
      <c r="C369" t="s">
        <v>13</v>
      </c>
      <c r="D369">
        <v>318</v>
      </c>
      <c r="E369">
        <v>1590</v>
      </c>
      <c r="F369">
        <v>795</v>
      </c>
      <c r="G369">
        <v>795</v>
      </c>
      <c r="H369" s="1">
        <v>43313</v>
      </c>
      <c r="I369" s="1">
        <v>43317</v>
      </c>
      <c r="J369">
        <v>4</v>
      </c>
    </row>
    <row r="370" spans="1:10" x14ac:dyDescent="0.25">
      <c r="A370">
        <v>867743</v>
      </c>
      <c r="B370">
        <v>985245</v>
      </c>
      <c r="C370" t="s">
        <v>13</v>
      </c>
      <c r="D370">
        <v>430</v>
      </c>
      <c r="E370">
        <v>2150</v>
      </c>
      <c r="F370">
        <v>1075</v>
      </c>
      <c r="G370">
        <v>1075</v>
      </c>
      <c r="H370" s="1">
        <v>43313</v>
      </c>
      <c r="I370" s="1">
        <v>43317</v>
      </c>
      <c r="J370">
        <v>4</v>
      </c>
    </row>
    <row r="371" spans="1:10" x14ac:dyDescent="0.25">
      <c r="A371">
        <v>370871</v>
      </c>
      <c r="B371">
        <v>325698</v>
      </c>
      <c r="C371" t="s">
        <v>15</v>
      </c>
      <c r="D371">
        <v>651</v>
      </c>
      <c r="E371">
        <v>3255</v>
      </c>
      <c r="F371">
        <v>1627.5</v>
      </c>
      <c r="G371">
        <v>1627.5</v>
      </c>
      <c r="H371" s="1">
        <v>43314</v>
      </c>
      <c r="I371" s="1">
        <v>43316</v>
      </c>
      <c r="J371">
        <v>2</v>
      </c>
    </row>
    <row r="372" spans="1:10" x14ac:dyDescent="0.25">
      <c r="A372">
        <v>529574</v>
      </c>
      <c r="B372">
        <v>325698</v>
      </c>
      <c r="C372" t="s">
        <v>15</v>
      </c>
      <c r="D372">
        <v>898</v>
      </c>
      <c r="E372">
        <v>4490</v>
      </c>
      <c r="F372">
        <v>2245</v>
      </c>
      <c r="G372">
        <v>2245</v>
      </c>
      <c r="H372" s="1">
        <v>43313</v>
      </c>
      <c r="I372" s="1">
        <v>43315</v>
      </c>
      <c r="J372">
        <v>2</v>
      </c>
    </row>
    <row r="373" spans="1:10" x14ac:dyDescent="0.25">
      <c r="A373">
        <v>517727</v>
      </c>
      <c r="B373">
        <v>325698</v>
      </c>
      <c r="C373" t="s">
        <v>15</v>
      </c>
      <c r="D373">
        <v>703</v>
      </c>
      <c r="E373">
        <v>3515</v>
      </c>
      <c r="F373">
        <v>1757.5</v>
      </c>
      <c r="G373">
        <v>1757.5</v>
      </c>
      <c r="H373" s="1">
        <v>43312</v>
      </c>
      <c r="I373" s="1">
        <v>43314</v>
      </c>
      <c r="J373">
        <v>2</v>
      </c>
    </row>
    <row r="374" spans="1:10" x14ac:dyDescent="0.25">
      <c r="A374">
        <v>629058</v>
      </c>
      <c r="B374">
        <v>985245</v>
      </c>
      <c r="C374" t="s">
        <v>13</v>
      </c>
      <c r="D374">
        <v>625</v>
      </c>
      <c r="E374">
        <v>3125</v>
      </c>
      <c r="F374">
        <v>1562.5</v>
      </c>
      <c r="G374">
        <v>1562.5</v>
      </c>
      <c r="H374" s="1">
        <v>43310</v>
      </c>
      <c r="I374" s="1">
        <v>43314</v>
      </c>
      <c r="J374">
        <v>4</v>
      </c>
    </row>
    <row r="375" spans="1:10" x14ac:dyDescent="0.25">
      <c r="A375">
        <v>302697</v>
      </c>
      <c r="B375">
        <v>785432</v>
      </c>
      <c r="C375" t="s">
        <v>14</v>
      </c>
      <c r="D375">
        <v>734</v>
      </c>
      <c r="E375">
        <v>3670</v>
      </c>
      <c r="F375">
        <v>1835</v>
      </c>
      <c r="G375">
        <v>1835</v>
      </c>
      <c r="H375" s="1">
        <v>43309</v>
      </c>
      <c r="I375" s="1">
        <v>43314</v>
      </c>
      <c r="J375">
        <v>5</v>
      </c>
    </row>
    <row r="376" spans="1:10" x14ac:dyDescent="0.25">
      <c r="A376">
        <v>661711</v>
      </c>
      <c r="B376">
        <v>152689</v>
      </c>
      <c r="C376" t="s">
        <v>11</v>
      </c>
      <c r="D376">
        <v>674</v>
      </c>
      <c r="E376">
        <v>3370</v>
      </c>
      <c r="F376">
        <v>1685</v>
      </c>
      <c r="G376">
        <v>1685</v>
      </c>
      <c r="H376" s="1">
        <v>43309</v>
      </c>
      <c r="I376" s="1">
        <v>43314</v>
      </c>
      <c r="J376">
        <v>5</v>
      </c>
    </row>
    <row r="377" spans="1:10" x14ac:dyDescent="0.25">
      <c r="A377">
        <v>316723</v>
      </c>
      <c r="B377">
        <v>985245</v>
      </c>
      <c r="C377" t="s">
        <v>13</v>
      </c>
      <c r="D377">
        <v>955</v>
      </c>
      <c r="E377">
        <v>4775</v>
      </c>
      <c r="F377">
        <v>2387.5</v>
      </c>
      <c r="G377">
        <v>2387.5</v>
      </c>
      <c r="H377" s="1">
        <v>43310</v>
      </c>
      <c r="I377" s="1">
        <v>43313</v>
      </c>
      <c r="J377">
        <v>3</v>
      </c>
    </row>
    <row r="378" spans="1:10" x14ac:dyDescent="0.25">
      <c r="A378">
        <v>665991</v>
      </c>
      <c r="B378">
        <v>985245</v>
      </c>
      <c r="C378" t="s">
        <v>13</v>
      </c>
      <c r="D378">
        <v>949</v>
      </c>
      <c r="E378">
        <v>4745</v>
      </c>
      <c r="F378">
        <v>2372.5</v>
      </c>
      <c r="G378">
        <v>2372.5</v>
      </c>
      <c r="H378" s="1">
        <v>43309</v>
      </c>
      <c r="I378" s="1">
        <v>43313</v>
      </c>
      <c r="J378">
        <v>4</v>
      </c>
    </row>
    <row r="379" spans="1:10" x14ac:dyDescent="0.25">
      <c r="A379">
        <v>119907</v>
      </c>
      <c r="B379">
        <v>985245</v>
      </c>
      <c r="C379" t="s">
        <v>13</v>
      </c>
      <c r="D379">
        <v>545</v>
      </c>
      <c r="E379">
        <v>2725</v>
      </c>
      <c r="F379">
        <v>1362.5</v>
      </c>
      <c r="G379">
        <v>1362.5</v>
      </c>
      <c r="H379" s="1">
        <v>43309</v>
      </c>
      <c r="I379" s="1">
        <v>43313</v>
      </c>
      <c r="J379">
        <v>4</v>
      </c>
    </row>
    <row r="380" spans="1:10" x14ac:dyDescent="0.25">
      <c r="A380">
        <v>525168</v>
      </c>
      <c r="B380">
        <v>785432</v>
      </c>
      <c r="C380" t="s">
        <v>14</v>
      </c>
      <c r="D380">
        <v>654</v>
      </c>
      <c r="E380">
        <v>3270</v>
      </c>
      <c r="F380">
        <v>1635</v>
      </c>
      <c r="G380">
        <v>1635</v>
      </c>
      <c r="H380" s="1">
        <v>43308</v>
      </c>
      <c r="I380" s="1">
        <v>43313</v>
      </c>
      <c r="J380">
        <v>5</v>
      </c>
    </row>
    <row r="381" spans="1:10" x14ac:dyDescent="0.25">
      <c r="A381">
        <v>209061</v>
      </c>
      <c r="B381">
        <v>152689</v>
      </c>
      <c r="C381" t="s">
        <v>11</v>
      </c>
      <c r="D381">
        <v>324</v>
      </c>
      <c r="E381">
        <v>1620</v>
      </c>
      <c r="F381">
        <v>810</v>
      </c>
      <c r="G381">
        <v>810</v>
      </c>
      <c r="H381" s="1">
        <v>43308</v>
      </c>
      <c r="I381" s="1">
        <v>43313</v>
      </c>
      <c r="J381">
        <v>5</v>
      </c>
    </row>
    <row r="382" spans="1:10" x14ac:dyDescent="0.25">
      <c r="A382">
        <v>276904</v>
      </c>
      <c r="B382">
        <v>985245</v>
      </c>
      <c r="C382" t="s">
        <v>13</v>
      </c>
      <c r="D382">
        <v>51</v>
      </c>
      <c r="E382">
        <v>255</v>
      </c>
      <c r="F382">
        <v>127.5</v>
      </c>
      <c r="G382">
        <v>127.5</v>
      </c>
      <c r="H382" s="1">
        <v>43308</v>
      </c>
      <c r="I382" s="1">
        <v>43312</v>
      </c>
      <c r="J382">
        <v>4</v>
      </c>
    </row>
    <row r="383" spans="1:10" x14ac:dyDescent="0.25">
      <c r="A383">
        <v>449045</v>
      </c>
      <c r="B383">
        <v>325698</v>
      </c>
      <c r="C383" t="s">
        <v>15</v>
      </c>
      <c r="D383">
        <v>548</v>
      </c>
      <c r="E383">
        <v>2740</v>
      </c>
      <c r="F383">
        <v>1370</v>
      </c>
      <c r="G383">
        <v>1370</v>
      </c>
      <c r="H383" s="1">
        <v>43308</v>
      </c>
      <c r="I383" s="1">
        <v>43310</v>
      </c>
      <c r="J383">
        <v>2</v>
      </c>
    </row>
    <row r="384" spans="1:10" x14ac:dyDescent="0.25">
      <c r="A384">
        <v>751061</v>
      </c>
      <c r="B384">
        <v>325698</v>
      </c>
      <c r="C384" t="s">
        <v>15</v>
      </c>
      <c r="D384">
        <v>663</v>
      </c>
      <c r="E384">
        <v>3315</v>
      </c>
      <c r="F384">
        <v>1657.5</v>
      </c>
      <c r="G384">
        <v>1657.5</v>
      </c>
      <c r="H384" s="1">
        <v>43308</v>
      </c>
      <c r="I384" s="1">
        <v>43310</v>
      </c>
      <c r="J384">
        <v>2</v>
      </c>
    </row>
    <row r="385" spans="1:10" x14ac:dyDescent="0.25">
      <c r="A385">
        <v>816919</v>
      </c>
      <c r="B385">
        <v>152689</v>
      </c>
      <c r="C385" t="s">
        <v>11</v>
      </c>
      <c r="D385">
        <v>509</v>
      </c>
      <c r="E385">
        <v>2545</v>
      </c>
      <c r="F385">
        <v>1272.5</v>
      </c>
      <c r="G385">
        <v>1272.5</v>
      </c>
      <c r="H385" s="1">
        <v>43305</v>
      </c>
      <c r="I385" s="1">
        <v>43310</v>
      </c>
      <c r="J385">
        <v>5</v>
      </c>
    </row>
    <row r="386" spans="1:10" x14ac:dyDescent="0.25">
      <c r="A386">
        <v>248116</v>
      </c>
      <c r="B386">
        <v>452584</v>
      </c>
      <c r="C386" t="s">
        <v>12</v>
      </c>
      <c r="D386">
        <v>989</v>
      </c>
      <c r="E386">
        <v>4945</v>
      </c>
      <c r="F386">
        <v>2472.5</v>
      </c>
      <c r="G386">
        <v>2472.5</v>
      </c>
      <c r="H386" s="1">
        <v>43307</v>
      </c>
      <c r="I386" s="1">
        <v>43309</v>
      </c>
      <c r="J386">
        <v>2</v>
      </c>
    </row>
    <row r="387" spans="1:10" x14ac:dyDescent="0.25">
      <c r="A387">
        <v>375632</v>
      </c>
      <c r="B387">
        <v>152689</v>
      </c>
      <c r="C387" t="s">
        <v>11</v>
      </c>
      <c r="D387">
        <v>636</v>
      </c>
      <c r="E387">
        <v>3180</v>
      </c>
      <c r="F387">
        <v>1590</v>
      </c>
      <c r="G387">
        <v>1590</v>
      </c>
      <c r="H387" s="1">
        <v>43304</v>
      </c>
      <c r="I387" s="1">
        <v>43309</v>
      </c>
      <c r="J387">
        <v>5</v>
      </c>
    </row>
    <row r="388" spans="1:10" x14ac:dyDescent="0.25">
      <c r="A388">
        <v>206568</v>
      </c>
      <c r="B388">
        <v>785432</v>
      </c>
      <c r="C388" t="s">
        <v>14</v>
      </c>
      <c r="D388">
        <v>190</v>
      </c>
      <c r="E388">
        <v>950</v>
      </c>
      <c r="F388">
        <v>475</v>
      </c>
      <c r="G388">
        <v>475</v>
      </c>
      <c r="H388" s="1">
        <v>43304</v>
      </c>
      <c r="I388" s="1">
        <v>43308</v>
      </c>
      <c r="J388">
        <v>4</v>
      </c>
    </row>
    <row r="389" spans="1:10" x14ac:dyDescent="0.25">
      <c r="A389">
        <v>691278</v>
      </c>
      <c r="B389">
        <v>152689</v>
      </c>
      <c r="C389" t="s">
        <v>11</v>
      </c>
      <c r="D389">
        <v>161</v>
      </c>
      <c r="E389">
        <v>805</v>
      </c>
      <c r="F389">
        <v>402.5</v>
      </c>
      <c r="G389">
        <v>402.5</v>
      </c>
      <c r="H389" s="1">
        <v>43302</v>
      </c>
      <c r="I389" s="1">
        <v>43307</v>
      </c>
      <c r="J389">
        <v>5</v>
      </c>
    </row>
    <row r="390" spans="1:10" x14ac:dyDescent="0.25">
      <c r="A390">
        <v>540732</v>
      </c>
      <c r="B390">
        <v>325698</v>
      </c>
      <c r="C390" t="s">
        <v>15</v>
      </c>
      <c r="D390">
        <v>829</v>
      </c>
      <c r="E390">
        <v>4145</v>
      </c>
      <c r="F390">
        <v>2072.5</v>
      </c>
      <c r="G390">
        <v>2072.5</v>
      </c>
      <c r="H390" s="1">
        <v>43304</v>
      </c>
      <c r="I390" s="1">
        <v>43306</v>
      </c>
      <c r="J390">
        <v>2</v>
      </c>
    </row>
    <row r="391" spans="1:10" x14ac:dyDescent="0.25">
      <c r="A391">
        <v>127751</v>
      </c>
      <c r="B391">
        <v>785432</v>
      </c>
      <c r="C391" t="s">
        <v>14</v>
      </c>
      <c r="D391">
        <v>643</v>
      </c>
      <c r="E391">
        <v>3215</v>
      </c>
      <c r="F391">
        <v>1607.5</v>
      </c>
      <c r="G391">
        <v>1607.5</v>
      </c>
      <c r="H391" s="1">
        <v>43301</v>
      </c>
      <c r="I391" s="1">
        <v>43306</v>
      </c>
      <c r="J391">
        <v>5</v>
      </c>
    </row>
    <row r="392" spans="1:10" x14ac:dyDescent="0.25">
      <c r="A392">
        <v>256436</v>
      </c>
      <c r="B392">
        <v>152689</v>
      </c>
      <c r="C392" t="s">
        <v>11</v>
      </c>
      <c r="D392">
        <v>806</v>
      </c>
      <c r="E392">
        <v>4030</v>
      </c>
      <c r="F392">
        <v>2015</v>
      </c>
      <c r="G392">
        <v>2015</v>
      </c>
      <c r="H392" s="1">
        <v>43301</v>
      </c>
      <c r="I392" s="1">
        <v>43306</v>
      </c>
      <c r="J392">
        <v>5</v>
      </c>
    </row>
    <row r="393" spans="1:10" x14ac:dyDescent="0.25">
      <c r="A393">
        <v>263179</v>
      </c>
      <c r="B393">
        <v>325698</v>
      </c>
      <c r="C393" t="s">
        <v>15</v>
      </c>
      <c r="D393">
        <v>372</v>
      </c>
      <c r="E393">
        <v>1860</v>
      </c>
      <c r="F393">
        <v>930</v>
      </c>
      <c r="G393">
        <v>930</v>
      </c>
      <c r="H393" s="1">
        <v>43303</v>
      </c>
      <c r="I393" s="1">
        <v>43305</v>
      </c>
      <c r="J393">
        <v>2</v>
      </c>
    </row>
    <row r="394" spans="1:10" x14ac:dyDescent="0.25">
      <c r="A394">
        <v>885727</v>
      </c>
      <c r="B394">
        <v>985245</v>
      </c>
      <c r="C394" t="s">
        <v>13</v>
      </c>
      <c r="D394">
        <v>552</v>
      </c>
      <c r="E394">
        <v>2760</v>
      </c>
      <c r="F394">
        <v>1380</v>
      </c>
      <c r="G394">
        <v>1380</v>
      </c>
      <c r="H394" s="1">
        <v>43301</v>
      </c>
      <c r="I394" s="1">
        <v>43305</v>
      </c>
      <c r="J394">
        <v>4</v>
      </c>
    </row>
    <row r="395" spans="1:10" x14ac:dyDescent="0.25">
      <c r="A395">
        <v>319055</v>
      </c>
      <c r="B395">
        <v>985245</v>
      </c>
      <c r="C395" t="s">
        <v>13</v>
      </c>
      <c r="D395">
        <v>610</v>
      </c>
      <c r="E395">
        <v>3050</v>
      </c>
      <c r="F395">
        <v>1525</v>
      </c>
      <c r="G395">
        <v>1525</v>
      </c>
      <c r="H395" s="1">
        <v>43300</v>
      </c>
      <c r="I395" s="1">
        <v>43304</v>
      </c>
      <c r="J395">
        <v>4</v>
      </c>
    </row>
    <row r="396" spans="1:10" x14ac:dyDescent="0.25">
      <c r="A396">
        <v>634046</v>
      </c>
      <c r="B396">
        <v>325698</v>
      </c>
      <c r="C396" t="s">
        <v>15</v>
      </c>
      <c r="D396">
        <v>335</v>
      </c>
      <c r="E396">
        <v>1675</v>
      </c>
      <c r="F396">
        <v>837.5</v>
      </c>
      <c r="G396">
        <v>837.5</v>
      </c>
      <c r="H396" s="1">
        <v>43301</v>
      </c>
      <c r="I396" s="1">
        <v>43303</v>
      </c>
      <c r="J396">
        <v>2</v>
      </c>
    </row>
    <row r="397" spans="1:10" x14ac:dyDescent="0.25">
      <c r="A397">
        <v>924733</v>
      </c>
      <c r="B397">
        <v>985245</v>
      </c>
      <c r="C397" t="s">
        <v>13</v>
      </c>
      <c r="D397">
        <v>954</v>
      </c>
      <c r="E397">
        <v>4770</v>
      </c>
      <c r="F397">
        <v>2385</v>
      </c>
      <c r="G397">
        <v>2385</v>
      </c>
      <c r="H397" s="1">
        <v>43299</v>
      </c>
      <c r="I397" s="1">
        <v>43303</v>
      </c>
      <c r="J397">
        <v>4</v>
      </c>
    </row>
    <row r="398" spans="1:10" x14ac:dyDescent="0.25">
      <c r="A398">
        <v>236830</v>
      </c>
      <c r="B398">
        <v>152689</v>
      </c>
      <c r="C398" t="s">
        <v>11</v>
      </c>
      <c r="D398">
        <v>964</v>
      </c>
      <c r="E398">
        <v>4820</v>
      </c>
      <c r="F398">
        <v>2410</v>
      </c>
      <c r="G398">
        <v>2410</v>
      </c>
      <c r="H398" s="1">
        <v>43298</v>
      </c>
      <c r="I398" s="1">
        <v>43303</v>
      </c>
      <c r="J398">
        <v>5</v>
      </c>
    </row>
    <row r="399" spans="1:10" x14ac:dyDescent="0.25">
      <c r="A399">
        <v>143964</v>
      </c>
      <c r="B399">
        <v>452584</v>
      </c>
      <c r="C399" t="s">
        <v>12</v>
      </c>
      <c r="D399">
        <v>681</v>
      </c>
      <c r="E399">
        <v>3405</v>
      </c>
      <c r="F399">
        <v>1702.5</v>
      </c>
      <c r="G399">
        <v>1702.5</v>
      </c>
      <c r="H399" s="1">
        <v>43300</v>
      </c>
      <c r="I399" s="1">
        <v>43302</v>
      </c>
      <c r="J399">
        <v>2</v>
      </c>
    </row>
    <row r="400" spans="1:10" x14ac:dyDescent="0.25">
      <c r="A400">
        <v>376584</v>
      </c>
      <c r="B400">
        <v>325698</v>
      </c>
      <c r="C400" t="s">
        <v>15</v>
      </c>
      <c r="D400">
        <v>148</v>
      </c>
      <c r="E400">
        <v>740</v>
      </c>
      <c r="F400">
        <v>370</v>
      </c>
      <c r="G400">
        <v>370</v>
      </c>
      <c r="H400" s="1">
        <v>43300</v>
      </c>
      <c r="I400" s="1">
        <v>43302</v>
      </c>
      <c r="J400">
        <v>2</v>
      </c>
    </row>
    <row r="401" spans="1:10" x14ac:dyDescent="0.25">
      <c r="A401">
        <v>550457</v>
      </c>
      <c r="B401">
        <v>325698</v>
      </c>
      <c r="C401" t="s">
        <v>15</v>
      </c>
      <c r="D401">
        <v>713</v>
      </c>
      <c r="E401">
        <v>3565</v>
      </c>
      <c r="F401">
        <v>1782.5</v>
      </c>
      <c r="G401">
        <v>1782.5</v>
      </c>
      <c r="H401" s="1">
        <v>43300</v>
      </c>
      <c r="I401" s="1">
        <v>43302</v>
      </c>
      <c r="J401">
        <v>2</v>
      </c>
    </row>
    <row r="402" spans="1:10" x14ac:dyDescent="0.25">
      <c r="A402">
        <v>144287</v>
      </c>
      <c r="B402">
        <v>325698</v>
      </c>
      <c r="C402" t="s">
        <v>15</v>
      </c>
      <c r="D402">
        <v>791</v>
      </c>
      <c r="E402">
        <v>3955</v>
      </c>
      <c r="F402">
        <v>1977.5</v>
      </c>
      <c r="G402">
        <v>1977.5</v>
      </c>
      <c r="H402" s="1">
        <v>43298</v>
      </c>
      <c r="I402" s="1">
        <v>43300</v>
      </c>
      <c r="J402">
        <v>2</v>
      </c>
    </row>
    <row r="403" spans="1:10" x14ac:dyDescent="0.25">
      <c r="A403">
        <v>675627</v>
      </c>
      <c r="B403">
        <v>985245</v>
      </c>
      <c r="C403" t="s">
        <v>13</v>
      </c>
      <c r="D403">
        <v>882</v>
      </c>
      <c r="E403">
        <v>4410</v>
      </c>
      <c r="F403">
        <v>2205</v>
      </c>
      <c r="G403">
        <v>2205</v>
      </c>
      <c r="H403" s="1">
        <v>43296</v>
      </c>
      <c r="I403" s="1">
        <v>43300</v>
      </c>
      <c r="J403">
        <v>4</v>
      </c>
    </row>
    <row r="404" spans="1:10" x14ac:dyDescent="0.25">
      <c r="A404">
        <v>154833</v>
      </c>
      <c r="B404">
        <v>785432</v>
      </c>
      <c r="C404" t="s">
        <v>14</v>
      </c>
      <c r="D404">
        <v>309</v>
      </c>
      <c r="E404">
        <v>1545</v>
      </c>
      <c r="F404">
        <v>772.5</v>
      </c>
      <c r="G404">
        <v>772.5</v>
      </c>
      <c r="H404" s="1">
        <v>43296</v>
      </c>
      <c r="I404" s="1">
        <v>43300</v>
      </c>
      <c r="J404">
        <v>4</v>
      </c>
    </row>
    <row r="405" spans="1:10" x14ac:dyDescent="0.25">
      <c r="A405">
        <v>716499</v>
      </c>
      <c r="B405">
        <v>785432</v>
      </c>
      <c r="C405" t="s">
        <v>14</v>
      </c>
      <c r="D405">
        <v>710</v>
      </c>
      <c r="E405">
        <v>3550</v>
      </c>
      <c r="F405">
        <v>1775</v>
      </c>
      <c r="G405">
        <v>1775</v>
      </c>
      <c r="H405" s="1">
        <v>43295</v>
      </c>
      <c r="I405" s="1">
        <v>43300</v>
      </c>
      <c r="J405">
        <v>5</v>
      </c>
    </row>
    <row r="406" spans="1:10" x14ac:dyDescent="0.25">
      <c r="A406">
        <v>204757</v>
      </c>
      <c r="B406">
        <v>325698</v>
      </c>
      <c r="C406" t="s">
        <v>15</v>
      </c>
      <c r="D406">
        <v>584</v>
      </c>
      <c r="E406">
        <v>2920</v>
      </c>
      <c r="F406">
        <v>1460</v>
      </c>
      <c r="G406">
        <v>1460</v>
      </c>
      <c r="H406" s="1">
        <v>43297</v>
      </c>
      <c r="I406" s="1">
        <v>43299</v>
      </c>
      <c r="J406">
        <v>2</v>
      </c>
    </row>
    <row r="407" spans="1:10" x14ac:dyDescent="0.25">
      <c r="A407">
        <v>897742</v>
      </c>
      <c r="B407">
        <v>325698</v>
      </c>
      <c r="C407" t="s">
        <v>15</v>
      </c>
      <c r="D407">
        <v>543</v>
      </c>
      <c r="E407">
        <v>2715</v>
      </c>
      <c r="F407">
        <v>1357.5</v>
      </c>
      <c r="G407">
        <v>1357.5</v>
      </c>
      <c r="H407" s="1">
        <v>43296</v>
      </c>
      <c r="I407" s="1">
        <v>43299</v>
      </c>
      <c r="J407">
        <v>3</v>
      </c>
    </row>
    <row r="408" spans="1:10" x14ac:dyDescent="0.25">
      <c r="A408">
        <v>738658</v>
      </c>
      <c r="B408">
        <v>325698</v>
      </c>
      <c r="C408" t="s">
        <v>15</v>
      </c>
      <c r="D408">
        <v>976</v>
      </c>
      <c r="E408">
        <v>4880</v>
      </c>
      <c r="F408">
        <v>2440</v>
      </c>
      <c r="G408">
        <v>2440</v>
      </c>
      <c r="H408" s="1">
        <v>43295</v>
      </c>
      <c r="I408" s="1">
        <v>43297</v>
      </c>
      <c r="J408">
        <v>2</v>
      </c>
    </row>
    <row r="409" spans="1:10" x14ac:dyDescent="0.25">
      <c r="A409">
        <v>561408</v>
      </c>
      <c r="B409">
        <v>985245</v>
      </c>
      <c r="C409" t="s">
        <v>13</v>
      </c>
      <c r="D409">
        <v>419</v>
      </c>
      <c r="E409">
        <v>2095</v>
      </c>
      <c r="F409">
        <v>1047.5</v>
      </c>
      <c r="G409">
        <v>1047.5</v>
      </c>
      <c r="H409" s="1">
        <v>43294</v>
      </c>
      <c r="I409" s="1">
        <v>43297</v>
      </c>
      <c r="J409">
        <v>3</v>
      </c>
    </row>
    <row r="410" spans="1:10" x14ac:dyDescent="0.25">
      <c r="A410">
        <v>152643</v>
      </c>
      <c r="B410">
        <v>452584</v>
      </c>
      <c r="C410" t="s">
        <v>12</v>
      </c>
      <c r="D410">
        <v>847</v>
      </c>
      <c r="E410">
        <v>4235</v>
      </c>
      <c r="F410">
        <v>2117.5</v>
      </c>
      <c r="G410">
        <v>2117.5</v>
      </c>
      <c r="H410" s="1">
        <v>43294</v>
      </c>
      <c r="I410" s="1">
        <v>43296</v>
      </c>
      <c r="J410">
        <v>2</v>
      </c>
    </row>
    <row r="411" spans="1:10" x14ac:dyDescent="0.25">
      <c r="A411">
        <v>478555</v>
      </c>
      <c r="B411">
        <v>452584</v>
      </c>
      <c r="C411" t="s">
        <v>12</v>
      </c>
      <c r="D411">
        <v>832</v>
      </c>
      <c r="E411">
        <v>4160</v>
      </c>
      <c r="F411">
        <v>2080</v>
      </c>
      <c r="G411">
        <v>2080</v>
      </c>
      <c r="H411" s="1">
        <v>43294</v>
      </c>
      <c r="I411" s="1">
        <v>43296</v>
      </c>
      <c r="J411">
        <v>2</v>
      </c>
    </row>
    <row r="412" spans="1:10" x14ac:dyDescent="0.25">
      <c r="A412">
        <v>754289</v>
      </c>
      <c r="B412">
        <v>325698</v>
      </c>
      <c r="C412" t="s">
        <v>15</v>
      </c>
      <c r="D412">
        <v>206</v>
      </c>
      <c r="E412">
        <v>1030</v>
      </c>
      <c r="F412">
        <v>515</v>
      </c>
      <c r="G412">
        <v>515</v>
      </c>
      <c r="H412" s="1">
        <v>43294</v>
      </c>
      <c r="I412" s="1">
        <v>43296</v>
      </c>
      <c r="J412">
        <v>2</v>
      </c>
    </row>
    <row r="413" spans="1:10" x14ac:dyDescent="0.25">
      <c r="A413">
        <v>413302</v>
      </c>
      <c r="B413">
        <v>325698</v>
      </c>
      <c r="C413" t="s">
        <v>15</v>
      </c>
      <c r="D413">
        <v>989</v>
      </c>
      <c r="E413">
        <v>4945</v>
      </c>
      <c r="F413">
        <v>2472.5</v>
      </c>
      <c r="G413">
        <v>2472.5</v>
      </c>
      <c r="H413" s="1">
        <v>43294</v>
      </c>
      <c r="I413" s="1">
        <v>43296</v>
      </c>
      <c r="J413">
        <v>2</v>
      </c>
    </row>
    <row r="414" spans="1:10" x14ac:dyDescent="0.25">
      <c r="A414">
        <v>560683</v>
      </c>
      <c r="B414">
        <v>325698</v>
      </c>
      <c r="C414" t="s">
        <v>15</v>
      </c>
      <c r="D414">
        <v>433</v>
      </c>
      <c r="E414">
        <v>2165</v>
      </c>
      <c r="F414">
        <v>1082.5</v>
      </c>
      <c r="G414">
        <v>1082.5</v>
      </c>
      <c r="H414" s="1">
        <v>43294</v>
      </c>
      <c r="I414" s="1">
        <v>43296</v>
      </c>
      <c r="J414">
        <v>2</v>
      </c>
    </row>
    <row r="415" spans="1:10" x14ac:dyDescent="0.25">
      <c r="A415">
        <v>568184</v>
      </c>
      <c r="B415">
        <v>985245</v>
      </c>
      <c r="C415" t="s">
        <v>13</v>
      </c>
      <c r="D415">
        <v>536</v>
      </c>
      <c r="E415">
        <v>2680</v>
      </c>
      <c r="F415">
        <v>1340</v>
      </c>
      <c r="G415">
        <v>1340</v>
      </c>
      <c r="H415" s="1">
        <v>43292</v>
      </c>
      <c r="I415" s="1">
        <v>43296</v>
      </c>
      <c r="J415">
        <v>4</v>
      </c>
    </row>
    <row r="416" spans="1:10" x14ac:dyDescent="0.25">
      <c r="A416">
        <v>485437</v>
      </c>
      <c r="B416">
        <v>452584</v>
      </c>
      <c r="C416" t="s">
        <v>12</v>
      </c>
      <c r="D416">
        <v>763</v>
      </c>
      <c r="E416">
        <v>3815</v>
      </c>
      <c r="F416">
        <v>1907.5</v>
      </c>
      <c r="G416">
        <v>1907.5</v>
      </c>
      <c r="H416" s="1">
        <v>43293</v>
      </c>
      <c r="I416" s="1">
        <v>43295</v>
      </c>
      <c r="J416">
        <v>2</v>
      </c>
    </row>
    <row r="417" spans="1:10" x14ac:dyDescent="0.25">
      <c r="A417">
        <v>287383</v>
      </c>
      <c r="B417">
        <v>325698</v>
      </c>
      <c r="C417" t="s">
        <v>15</v>
      </c>
      <c r="D417">
        <v>113</v>
      </c>
      <c r="E417">
        <v>565</v>
      </c>
      <c r="F417">
        <v>282.5</v>
      </c>
      <c r="G417">
        <v>282.5</v>
      </c>
      <c r="H417" s="1">
        <v>43293</v>
      </c>
      <c r="I417" s="1">
        <v>43295</v>
      </c>
      <c r="J417">
        <v>2</v>
      </c>
    </row>
    <row r="418" spans="1:10" x14ac:dyDescent="0.25">
      <c r="A418">
        <v>369170</v>
      </c>
      <c r="B418">
        <v>325698</v>
      </c>
      <c r="C418" t="s">
        <v>15</v>
      </c>
      <c r="D418">
        <v>112</v>
      </c>
      <c r="E418">
        <v>560</v>
      </c>
      <c r="F418">
        <v>280</v>
      </c>
      <c r="G418">
        <v>280</v>
      </c>
      <c r="H418" s="1">
        <v>43292</v>
      </c>
      <c r="I418" s="1">
        <v>43295</v>
      </c>
      <c r="J418">
        <v>3</v>
      </c>
    </row>
    <row r="419" spans="1:10" x14ac:dyDescent="0.25">
      <c r="A419">
        <v>438979</v>
      </c>
      <c r="B419">
        <v>325698</v>
      </c>
      <c r="C419" t="s">
        <v>15</v>
      </c>
      <c r="D419">
        <v>719</v>
      </c>
      <c r="E419">
        <v>3595</v>
      </c>
      <c r="F419">
        <v>1797.5</v>
      </c>
      <c r="G419">
        <v>1797.5</v>
      </c>
      <c r="H419" s="1">
        <v>43291</v>
      </c>
      <c r="I419" s="1">
        <v>43294</v>
      </c>
      <c r="J419">
        <v>3</v>
      </c>
    </row>
    <row r="420" spans="1:10" x14ac:dyDescent="0.25">
      <c r="A420">
        <v>264143</v>
      </c>
      <c r="B420">
        <v>452584</v>
      </c>
      <c r="C420" t="s">
        <v>12</v>
      </c>
      <c r="D420">
        <v>866</v>
      </c>
      <c r="E420">
        <v>4330</v>
      </c>
      <c r="F420">
        <v>2165</v>
      </c>
      <c r="G420">
        <v>2165</v>
      </c>
      <c r="H420" s="1">
        <v>43291</v>
      </c>
      <c r="I420" s="1">
        <v>43293</v>
      </c>
      <c r="J420">
        <v>2</v>
      </c>
    </row>
    <row r="421" spans="1:10" x14ac:dyDescent="0.25">
      <c r="A421">
        <v>475379</v>
      </c>
      <c r="B421">
        <v>325698</v>
      </c>
      <c r="C421" t="s">
        <v>15</v>
      </c>
      <c r="D421">
        <v>921</v>
      </c>
      <c r="E421">
        <v>4605</v>
      </c>
      <c r="F421">
        <v>2302.5</v>
      </c>
      <c r="G421">
        <v>2302.5</v>
      </c>
      <c r="H421" s="1">
        <v>43291</v>
      </c>
      <c r="I421" s="1">
        <v>43293</v>
      </c>
      <c r="J421">
        <v>2</v>
      </c>
    </row>
    <row r="422" spans="1:10" x14ac:dyDescent="0.25">
      <c r="A422">
        <v>220675</v>
      </c>
      <c r="B422">
        <v>325698</v>
      </c>
      <c r="C422" t="s">
        <v>15</v>
      </c>
      <c r="D422">
        <v>879</v>
      </c>
      <c r="E422">
        <v>4395</v>
      </c>
      <c r="F422">
        <v>2197.5</v>
      </c>
      <c r="G422">
        <v>2197.5</v>
      </c>
      <c r="H422" s="1">
        <v>43291</v>
      </c>
      <c r="I422" s="1">
        <v>43293</v>
      </c>
      <c r="J422">
        <v>2</v>
      </c>
    </row>
    <row r="423" spans="1:10" x14ac:dyDescent="0.25">
      <c r="A423">
        <v>878314</v>
      </c>
      <c r="B423">
        <v>985245</v>
      </c>
      <c r="C423" t="s">
        <v>13</v>
      </c>
      <c r="D423">
        <v>618</v>
      </c>
      <c r="E423">
        <v>3090</v>
      </c>
      <c r="F423">
        <v>1545</v>
      </c>
      <c r="G423">
        <v>1545</v>
      </c>
      <c r="H423" s="1">
        <v>43290</v>
      </c>
      <c r="I423" s="1">
        <v>43293</v>
      </c>
      <c r="J423">
        <v>3</v>
      </c>
    </row>
    <row r="424" spans="1:10" x14ac:dyDescent="0.25">
      <c r="A424">
        <v>965927</v>
      </c>
      <c r="B424">
        <v>985245</v>
      </c>
      <c r="C424" t="s">
        <v>13</v>
      </c>
      <c r="D424">
        <v>154</v>
      </c>
      <c r="E424">
        <v>770</v>
      </c>
      <c r="F424">
        <v>385</v>
      </c>
      <c r="G424">
        <v>385</v>
      </c>
      <c r="H424" s="1">
        <v>43289</v>
      </c>
      <c r="I424" s="1">
        <v>43293</v>
      </c>
      <c r="J424">
        <v>4</v>
      </c>
    </row>
    <row r="425" spans="1:10" x14ac:dyDescent="0.25">
      <c r="A425">
        <v>736479</v>
      </c>
      <c r="B425">
        <v>152689</v>
      </c>
      <c r="C425" t="s">
        <v>11</v>
      </c>
      <c r="D425">
        <v>645</v>
      </c>
      <c r="E425">
        <v>3225</v>
      </c>
      <c r="F425">
        <v>1612.5</v>
      </c>
      <c r="G425">
        <v>1612.5</v>
      </c>
      <c r="H425" s="1">
        <v>43288</v>
      </c>
      <c r="I425" s="1">
        <v>43293</v>
      </c>
      <c r="J425">
        <v>5</v>
      </c>
    </row>
    <row r="426" spans="1:10" x14ac:dyDescent="0.25">
      <c r="A426">
        <v>654041</v>
      </c>
      <c r="B426">
        <v>985245</v>
      </c>
      <c r="C426" t="s">
        <v>13</v>
      </c>
      <c r="D426">
        <v>457</v>
      </c>
      <c r="E426">
        <v>2285</v>
      </c>
      <c r="F426">
        <v>1142.5</v>
      </c>
      <c r="G426">
        <v>1142.5</v>
      </c>
      <c r="H426" s="1">
        <v>43288</v>
      </c>
      <c r="I426" s="1">
        <v>43292</v>
      </c>
      <c r="J426">
        <v>4</v>
      </c>
    </row>
    <row r="427" spans="1:10" x14ac:dyDescent="0.25">
      <c r="A427">
        <v>696846</v>
      </c>
      <c r="B427">
        <v>785432</v>
      </c>
      <c r="C427" t="s">
        <v>14</v>
      </c>
      <c r="D427">
        <v>649</v>
      </c>
      <c r="E427">
        <v>3245</v>
      </c>
      <c r="F427">
        <v>1622.5</v>
      </c>
      <c r="G427">
        <v>1622.5</v>
      </c>
      <c r="H427" s="1">
        <v>43287</v>
      </c>
      <c r="I427" s="1">
        <v>43292</v>
      </c>
      <c r="J427">
        <v>5</v>
      </c>
    </row>
    <row r="428" spans="1:10" x14ac:dyDescent="0.25">
      <c r="A428">
        <v>417647</v>
      </c>
      <c r="B428">
        <v>152689</v>
      </c>
      <c r="C428" t="s">
        <v>11</v>
      </c>
      <c r="D428">
        <v>727</v>
      </c>
      <c r="E428">
        <v>3635</v>
      </c>
      <c r="F428">
        <v>1817.5</v>
      </c>
      <c r="G428">
        <v>1817.5</v>
      </c>
      <c r="H428" s="1">
        <v>43287</v>
      </c>
      <c r="I428" s="1">
        <v>43292</v>
      </c>
      <c r="J428">
        <v>5</v>
      </c>
    </row>
    <row r="429" spans="1:10" x14ac:dyDescent="0.25">
      <c r="A429">
        <v>936706</v>
      </c>
      <c r="B429">
        <v>152689</v>
      </c>
      <c r="C429" t="s">
        <v>11</v>
      </c>
      <c r="D429">
        <v>552</v>
      </c>
      <c r="E429">
        <v>2760</v>
      </c>
      <c r="F429">
        <v>1380</v>
      </c>
      <c r="G429">
        <v>1380</v>
      </c>
      <c r="H429" s="1">
        <v>43287</v>
      </c>
      <c r="I429" s="1">
        <v>43292</v>
      </c>
      <c r="J429">
        <v>5</v>
      </c>
    </row>
    <row r="430" spans="1:10" x14ac:dyDescent="0.25">
      <c r="A430">
        <v>202893</v>
      </c>
      <c r="B430">
        <v>152689</v>
      </c>
      <c r="C430" t="s">
        <v>11</v>
      </c>
      <c r="D430">
        <v>259</v>
      </c>
      <c r="E430">
        <v>1295</v>
      </c>
      <c r="F430">
        <v>647.5</v>
      </c>
      <c r="G430">
        <v>647.5</v>
      </c>
      <c r="H430" s="1">
        <v>43286</v>
      </c>
      <c r="I430" s="1">
        <v>43291</v>
      </c>
      <c r="J430">
        <v>5</v>
      </c>
    </row>
    <row r="431" spans="1:10" x14ac:dyDescent="0.25">
      <c r="A431">
        <v>179278</v>
      </c>
      <c r="B431">
        <v>325698</v>
      </c>
      <c r="C431" t="s">
        <v>15</v>
      </c>
      <c r="D431">
        <v>945</v>
      </c>
      <c r="E431">
        <v>4725</v>
      </c>
      <c r="F431">
        <v>2362.5</v>
      </c>
      <c r="G431">
        <v>2362.5</v>
      </c>
      <c r="H431" s="1">
        <v>43288</v>
      </c>
      <c r="I431" s="1">
        <v>43290</v>
      </c>
      <c r="J431">
        <v>2</v>
      </c>
    </row>
    <row r="432" spans="1:10" x14ac:dyDescent="0.25">
      <c r="A432">
        <v>532233</v>
      </c>
      <c r="B432">
        <v>325698</v>
      </c>
      <c r="C432" t="s">
        <v>15</v>
      </c>
      <c r="D432">
        <v>639</v>
      </c>
      <c r="E432">
        <v>3195</v>
      </c>
      <c r="F432">
        <v>1597.5</v>
      </c>
      <c r="G432">
        <v>1597.5</v>
      </c>
      <c r="H432" s="1">
        <v>43286</v>
      </c>
      <c r="I432" s="1">
        <v>43289</v>
      </c>
      <c r="J432">
        <v>3</v>
      </c>
    </row>
    <row r="433" spans="1:10" x14ac:dyDescent="0.25">
      <c r="A433">
        <v>246176</v>
      </c>
      <c r="B433">
        <v>325698</v>
      </c>
      <c r="C433" t="s">
        <v>15</v>
      </c>
      <c r="D433">
        <v>844</v>
      </c>
      <c r="E433">
        <v>4220</v>
      </c>
      <c r="F433">
        <v>2110</v>
      </c>
      <c r="G433">
        <v>2110</v>
      </c>
      <c r="H433" s="1">
        <v>43286</v>
      </c>
      <c r="I433" s="1">
        <v>43288</v>
      </c>
      <c r="J433">
        <v>2</v>
      </c>
    </row>
    <row r="434" spans="1:10" x14ac:dyDescent="0.25">
      <c r="A434">
        <v>489679</v>
      </c>
      <c r="B434">
        <v>452584</v>
      </c>
      <c r="C434" t="s">
        <v>12</v>
      </c>
      <c r="D434">
        <v>882</v>
      </c>
      <c r="E434">
        <v>4410</v>
      </c>
      <c r="F434">
        <v>2205</v>
      </c>
      <c r="G434">
        <v>2205</v>
      </c>
      <c r="H434" s="1">
        <v>43285</v>
      </c>
      <c r="I434" s="1">
        <v>43287</v>
      </c>
      <c r="J434">
        <v>2</v>
      </c>
    </row>
    <row r="435" spans="1:10" x14ac:dyDescent="0.25">
      <c r="A435">
        <v>624096</v>
      </c>
      <c r="B435">
        <v>785432</v>
      </c>
      <c r="C435" t="s">
        <v>14</v>
      </c>
      <c r="D435">
        <v>583</v>
      </c>
      <c r="E435">
        <v>2915</v>
      </c>
      <c r="F435">
        <v>1457.5</v>
      </c>
      <c r="G435">
        <v>1457.5</v>
      </c>
      <c r="H435" s="1">
        <v>43281</v>
      </c>
      <c r="I435" s="1">
        <v>43286</v>
      </c>
      <c r="J435">
        <v>5</v>
      </c>
    </row>
    <row r="436" spans="1:10" x14ac:dyDescent="0.25">
      <c r="A436">
        <v>214905</v>
      </c>
      <c r="B436">
        <v>152689</v>
      </c>
      <c r="C436" t="s">
        <v>11</v>
      </c>
      <c r="D436">
        <v>68</v>
      </c>
      <c r="E436">
        <v>340</v>
      </c>
      <c r="F436">
        <v>170</v>
      </c>
      <c r="G436">
        <v>170</v>
      </c>
      <c r="H436" s="1">
        <v>43281</v>
      </c>
      <c r="I436" s="1">
        <v>43286</v>
      </c>
      <c r="J436">
        <v>5</v>
      </c>
    </row>
    <row r="437" spans="1:10" x14ac:dyDescent="0.25">
      <c r="A437">
        <v>558460</v>
      </c>
      <c r="B437">
        <v>985245</v>
      </c>
      <c r="C437" t="s">
        <v>13</v>
      </c>
      <c r="D437">
        <v>777</v>
      </c>
      <c r="E437">
        <v>3885</v>
      </c>
      <c r="F437">
        <v>1942.5</v>
      </c>
      <c r="G437">
        <v>1942.5</v>
      </c>
      <c r="H437" s="1">
        <v>43281</v>
      </c>
      <c r="I437" s="1">
        <v>43285</v>
      </c>
      <c r="J437">
        <v>4</v>
      </c>
    </row>
    <row r="438" spans="1:10" x14ac:dyDescent="0.25">
      <c r="A438">
        <v>680464</v>
      </c>
      <c r="B438">
        <v>985245</v>
      </c>
      <c r="C438" t="s">
        <v>13</v>
      </c>
      <c r="D438">
        <v>198</v>
      </c>
      <c r="E438">
        <v>990</v>
      </c>
      <c r="F438">
        <v>495</v>
      </c>
      <c r="G438">
        <v>495</v>
      </c>
      <c r="H438" s="1">
        <v>43281</v>
      </c>
      <c r="I438" s="1">
        <v>43285</v>
      </c>
      <c r="J438">
        <v>4</v>
      </c>
    </row>
    <row r="439" spans="1:10" x14ac:dyDescent="0.25">
      <c r="A439">
        <v>479276</v>
      </c>
      <c r="B439">
        <v>785432</v>
      </c>
      <c r="C439" t="s">
        <v>14</v>
      </c>
      <c r="D439">
        <v>371</v>
      </c>
      <c r="E439">
        <v>1855</v>
      </c>
      <c r="F439">
        <v>927.5</v>
      </c>
      <c r="G439">
        <v>927.5</v>
      </c>
      <c r="H439" s="1">
        <v>43280</v>
      </c>
      <c r="I439" s="1">
        <v>43285</v>
      </c>
      <c r="J439">
        <v>5</v>
      </c>
    </row>
    <row r="440" spans="1:10" x14ac:dyDescent="0.25">
      <c r="A440">
        <v>666628</v>
      </c>
      <c r="B440">
        <v>152689</v>
      </c>
      <c r="C440" t="s">
        <v>11</v>
      </c>
      <c r="D440">
        <v>336</v>
      </c>
      <c r="E440">
        <v>1680</v>
      </c>
      <c r="F440">
        <v>840</v>
      </c>
      <c r="G440">
        <v>840</v>
      </c>
      <c r="H440" s="1">
        <v>43280</v>
      </c>
      <c r="I440" s="1">
        <v>43285</v>
      </c>
      <c r="J440">
        <v>5</v>
      </c>
    </row>
    <row r="441" spans="1:10" x14ac:dyDescent="0.25">
      <c r="A441">
        <v>988711</v>
      </c>
      <c r="B441">
        <v>152689</v>
      </c>
      <c r="C441" t="s">
        <v>11</v>
      </c>
      <c r="D441">
        <v>433</v>
      </c>
      <c r="E441">
        <v>2165</v>
      </c>
      <c r="F441">
        <v>1082.5</v>
      </c>
      <c r="G441">
        <v>1082.5</v>
      </c>
      <c r="H441" s="1">
        <v>43280</v>
      </c>
      <c r="I441" s="1">
        <v>43285</v>
      </c>
      <c r="J441">
        <v>5</v>
      </c>
    </row>
    <row r="442" spans="1:10" x14ac:dyDescent="0.25">
      <c r="A442">
        <v>140000</v>
      </c>
      <c r="B442">
        <v>785432</v>
      </c>
      <c r="C442" t="s">
        <v>14</v>
      </c>
      <c r="D442">
        <v>977</v>
      </c>
      <c r="E442">
        <v>4885</v>
      </c>
      <c r="F442">
        <v>2442.5</v>
      </c>
      <c r="G442">
        <v>2442.5</v>
      </c>
      <c r="H442" s="1">
        <v>43280</v>
      </c>
      <c r="I442" s="1">
        <v>43284</v>
      </c>
      <c r="J442">
        <v>4</v>
      </c>
    </row>
    <row r="443" spans="1:10" x14ac:dyDescent="0.25">
      <c r="A443">
        <v>512280</v>
      </c>
      <c r="B443">
        <v>452584</v>
      </c>
      <c r="C443" t="s">
        <v>12</v>
      </c>
      <c r="D443">
        <v>864</v>
      </c>
      <c r="E443">
        <v>4320</v>
      </c>
      <c r="F443">
        <v>2160</v>
      </c>
      <c r="G443">
        <v>2160</v>
      </c>
      <c r="H443" s="1">
        <v>43281</v>
      </c>
      <c r="I443" s="1">
        <v>43283</v>
      </c>
      <c r="J443">
        <v>2</v>
      </c>
    </row>
    <row r="444" spans="1:10" x14ac:dyDescent="0.25">
      <c r="A444">
        <v>659562</v>
      </c>
      <c r="B444">
        <v>325698</v>
      </c>
      <c r="C444" t="s">
        <v>15</v>
      </c>
      <c r="D444">
        <v>462</v>
      </c>
      <c r="E444">
        <v>2310</v>
      </c>
      <c r="F444">
        <v>1155</v>
      </c>
      <c r="G444">
        <v>1155</v>
      </c>
      <c r="H444" s="1">
        <v>43281</v>
      </c>
      <c r="I444" s="1">
        <v>43283</v>
      </c>
      <c r="J444">
        <v>2</v>
      </c>
    </row>
    <row r="445" spans="1:10" x14ac:dyDescent="0.25">
      <c r="A445">
        <v>561733</v>
      </c>
      <c r="B445">
        <v>325698</v>
      </c>
      <c r="C445" t="s">
        <v>15</v>
      </c>
      <c r="D445">
        <v>742</v>
      </c>
      <c r="E445">
        <v>3710</v>
      </c>
      <c r="F445">
        <v>1855</v>
      </c>
      <c r="G445">
        <v>1855</v>
      </c>
      <c r="H445" s="1">
        <v>43280</v>
      </c>
      <c r="I445" s="1">
        <v>43283</v>
      </c>
      <c r="J445">
        <v>3</v>
      </c>
    </row>
    <row r="446" spans="1:10" x14ac:dyDescent="0.25">
      <c r="A446">
        <v>572292</v>
      </c>
      <c r="B446">
        <v>325698</v>
      </c>
      <c r="C446" t="s">
        <v>15</v>
      </c>
      <c r="D446">
        <v>431</v>
      </c>
      <c r="E446">
        <v>2155</v>
      </c>
      <c r="F446">
        <v>1077.5</v>
      </c>
      <c r="G446">
        <v>1077.5</v>
      </c>
      <c r="H446" s="1">
        <v>43280</v>
      </c>
      <c r="I446" s="1">
        <v>43283</v>
      </c>
      <c r="J446">
        <v>3</v>
      </c>
    </row>
    <row r="447" spans="1:10" x14ac:dyDescent="0.25">
      <c r="A447">
        <v>675620</v>
      </c>
      <c r="B447">
        <v>985245</v>
      </c>
      <c r="C447" t="s">
        <v>13</v>
      </c>
      <c r="D447">
        <v>387</v>
      </c>
      <c r="E447">
        <v>1935</v>
      </c>
      <c r="F447">
        <v>967.5</v>
      </c>
      <c r="G447">
        <v>967.5</v>
      </c>
      <c r="H447" s="1">
        <v>43279</v>
      </c>
      <c r="I447" s="1">
        <v>43283</v>
      </c>
      <c r="J447">
        <v>4</v>
      </c>
    </row>
    <row r="448" spans="1:10" x14ac:dyDescent="0.25">
      <c r="A448">
        <v>736561</v>
      </c>
      <c r="B448">
        <v>785432</v>
      </c>
      <c r="C448" t="s">
        <v>14</v>
      </c>
      <c r="D448">
        <v>957</v>
      </c>
      <c r="E448">
        <v>4785</v>
      </c>
      <c r="F448">
        <v>2392.5</v>
      </c>
      <c r="G448">
        <v>2392.5</v>
      </c>
      <c r="H448" s="1">
        <v>43279</v>
      </c>
      <c r="I448" s="1">
        <v>43283</v>
      </c>
      <c r="J448">
        <v>4</v>
      </c>
    </row>
    <row r="449" spans="1:10" x14ac:dyDescent="0.25">
      <c r="A449">
        <v>694841</v>
      </c>
      <c r="B449">
        <v>985245</v>
      </c>
      <c r="C449" t="s">
        <v>13</v>
      </c>
      <c r="D449">
        <v>780</v>
      </c>
      <c r="E449">
        <v>3900</v>
      </c>
      <c r="F449">
        <v>1950</v>
      </c>
      <c r="G449">
        <v>1950</v>
      </c>
      <c r="H449" s="1">
        <v>43278</v>
      </c>
      <c r="I449" s="1">
        <v>43282</v>
      </c>
      <c r="J449">
        <v>4</v>
      </c>
    </row>
    <row r="450" spans="1:10" x14ac:dyDescent="0.25">
      <c r="A450">
        <v>751001</v>
      </c>
      <c r="B450">
        <v>785432</v>
      </c>
      <c r="C450" t="s">
        <v>14</v>
      </c>
      <c r="D450">
        <v>903</v>
      </c>
      <c r="E450">
        <v>4515</v>
      </c>
      <c r="F450">
        <v>2257.5</v>
      </c>
      <c r="G450">
        <v>2257.5</v>
      </c>
      <c r="H450" s="1">
        <v>43277</v>
      </c>
      <c r="I450" s="1">
        <v>43282</v>
      </c>
      <c r="J450">
        <v>5</v>
      </c>
    </row>
    <row r="451" spans="1:10" x14ac:dyDescent="0.25">
      <c r="A451">
        <v>550715</v>
      </c>
      <c r="B451">
        <v>452584</v>
      </c>
      <c r="C451" t="s">
        <v>12</v>
      </c>
      <c r="D451">
        <v>111</v>
      </c>
      <c r="E451">
        <v>555</v>
      </c>
      <c r="F451">
        <v>277.5</v>
      </c>
      <c r="G451">
        <v>277.5</v>
      </c>
      <c r="H451" s="1">
        <v>43278</v>
      </c>
      <c r="I451" s="1">
        <v>43280</v>
      </c>
      <c r="J451">
        <v>2</v>
      </c>
    </row>
    <row r="452" spans="1:10" x14ac:dyDescent="0.25">
      <c r="A452">
        <v>977710</v>
      </c>
      <c r="B452">
        <v>785432</v>
      </c>
      <c r="C452" t="s">
        <v>14</v>
      </c>
      <c r="D452">
        <v>201</v>
      </c>
      <c r="E452">
        <v>1005</v>
      </c>
      <c r="F452">
        <v>502.5</v>
      </c>
      <c r="G452">
        <v>502.5</v>
      </c>
      <c r="H452" s="1">
        <v>43275</v>
      </c>
      <c r="I452" s="1">
        <v>43280</v>
      </c>
      <c r="J452">
        <v>5</v>
      </c>
    </row>
    <row r="453" spans="1:10" x14ac:dyDescent="0.25">
      <c r="A453">
        <v>518393</v>
      </c>
      <c r="B453">
        <v>152689</v>
      </c>
      <c r="C453" t="s">
        <v>11</v>
      </c>
      <c r="D453">
        <v>904</v>
      </c>
      <c r="E453">
        <v>4520</v>
      </c>
      <c r="F453">
        <v>2260</v>
      </c>
      <c r="G453">
        <v>2260</v>
      </c>
      <c r="H453" s="1">
        <v>43274</v>
      </c>
      <c r="I453" s="1">
        <v>43279</v>
      </c>
      <c r="J453">
        <v>5</v>
      </c>
    </row>
    <row r="454" spans="1:10" x14ac:dyDescent="0.25">
      <c r="A454">
        <v>128238</v>
      </c>
      <c r="B454">
        <v>325698</v>
      </c>
      <c r="C454" t="s">
        <v>15</v>
      </c>
      <c r="D454">
        <v>252</v>
      </c>
      <c r="E454">
        <v>1260</v>
      </c>
      <c r="F454">
        <v>630</v>
      </c>
      <c r="G454">
        <v>630</v>
      </c>
      <c r="H454" s="1">
        <v>43276</v>
      </c>
      <c r="I454" s="1">
        <v>43278</v>
      </c>
      <c r="J454">
        <v>2</v>
      </c>
    </row>
    <row r="455" spans="1:10" x14ac:dyDescent="0.25">
      <c r="A455">
        <v>705693</v>
      </c>
      <c r="B455">
        <v>325698</v>
      </c>
      <c r="C455" t="s">
        <v>15</v>
      </c>
      <c r="D455">
        <v>737</v>
      </c>
      <c r="E455">
        <v>3685</v>
      </c>
      <c r="F455">
        <v>1842.5</v>
      </c>
      <c r="G455">
        <v>1842.5</v>
      </c>
      <c r="H455" s="1">
        <v>43276</v>
      </c>
      <c r="I455" s="1">
        <v>43278</v>
      </c>
      <c r="J455">
        <v>2</v>
      </c>
    </row>
    <row r="456" spans="1:10" x14ac:dyDescent="0.25">
      <c r="A456">
        <v>407100</v>
      </c>
      <c r="B456">
        <v>985245</v>
      </c>
      <c r="C456" t="s">
        <v>13</v>
      </c>
      <c r="D456">
        <v>718</v>
      </c>
      <c r="E456">
        <v>3590</v>
      </c>
      <c r="F456">
        <v>1795</v>
      </c>
      <c r="G456">
        <v>1795</v>
      </c>
      <c r="H456" s="1">
        <v>43274</v>
      </c>
      <c r="I456" s="1">
        <v>43278</v>
      </c>
      <c r="J456">
        <v>4</v>
      </c>
    </row>
    <row r="457" spans="1:10" x14ac:dyDescent="0.25">
      <c r="A457">
        <v>805458</v>
      </c>
      <c r="B457">
        <v>785432</v>
      </c>
      <c r="C457" t="s">
        <v>14</v>
      </c>
      <c r="D457">
        <v>746</v>
      </c>
      <c r="E457">
        <v>3730</v>
      </c>
      <c r="F457">
        <v>1865</v>
      </c>
      <c r="G457">
        <v>1865</v>
      </c>
      <c r="H457" s="1">
        <v>43272</v>
      </c>
      <c r="I457" s="1">
        <v>43277</v>
      </c>
      <c r="J457">
        <v>5</v>
      </c>
    </row>
    <row r="458" spans="1:10" x14ac:dyDescent="0.25">
      <c r="A458">
        <v>933510</v>
      </c>
      <c r="B458">
        <v>152689</v>
      </c>
      <c r="C458" t="s">
        <v>11</v>
      </c>
      <c r="D458">
        <v>235</v>
      </c>
      <c r="E458">
        <v>1175</v>
      </c>
      <c r="F458">
        <v>587.5</v>
      </c>
      <c r="G458">
        <v>587.5</v>
      </c>
      <c r="H458" s="1">
        <v>43272</v>
      </c>
      <c r="I458" s="1">
        <v>43277</v>
      </c>
      <c r="J458">
        <v>5</v>
      </c>
    </row>
    <row r="459" spans="1:10" x14ac:dyDescent="0.25">
      <c r="A459">
        <v>780523</v>
      </c>
      <c r="B459">
        <v>452584</v>
      </c>
      <c r="C459" t="s">
        <v>12</v>
      </c>
      <c r="D459">
        <v>636</v>
      </c>
      <c r="E459">
        <v>3180</v>
      </c>
      <c r="F459">
        <v>1590</v>
      </c>
      <c r="G459">
        <v>1590</v>
      </c>
      <c r="H459" s="1">
        <v>43274</v>
      </c>
      <c r="I459" s="1">
        <v>43276</v>
      </c>
      <c r="J459">
        <v>2</v>
      </c>
    </row>
    <row r="460" spans="1:10" x14ac:dyDescent="0.25">
      <c r="A460">
        <v>948601</v>
      </c>
      <c r="B460">
        <v>452584</v>
      </c>
      <c r="C460" t="s">
        <v>12</v>
      </c>
      <c r="D460">
        <v>966</v>
      </c>
      <c r="E460">
        <v>4830</v>
      </c>
      <c r="F460">
        <v>2415</v>
      </c>
      <c r="G460">
        <v>2415</v>
      </c>
      <c r="H460" s="1">
        <v>43273</v>
      </c>
      <c r="I460" s="1">
        <v>43275</v>
      </c>
      <c r="J460">
        <v>2</v>
      </c>
    </row>
    <row r="461" spans="1:10" x14ac:dyDescent="0.25">
      <c r="A461">
        <v>377096</v>
      </c>
      <c r="B461">
        <v>452584</v>
      </c>
      <c r="C461" t="s">
        <v>12</v>
      </c>
      <c r="D461">
        <v>592</v>
      </c>
      <c r="E461">
        <v>2960</v>
      </c>
      <c r="F461">
        <v>1480</v>
      </c>
      <c r="G461">
        <v>1480</v>
      </c>
      <c r="H461" s="1">
        <v>43273</v>
      </c>
      <c r="I461" s="1">
        <v>43275</v>
      </c>
      <c r="J461">
        <v>2</v>
      </c>
    </row>
    <row r="462" spans="1:10" x14ac:dyDescent="0.25">
      <c r="A462">
        <v>281561</v>
      </c>
      <c r="B462">
        <v>325698</v>
      </c>
      <c r="C462" t="s">
        <v>15</v>
      </c>
      <c r="D462">
        <v>133</v>
      </c>
      <c r="E462">
        <v>665</v>
      </c>
      <c r="F462">
        <v>332.5</v>
      </c>
      <c r="G462">
        <v>332.5</v>
      </c>
      <c r="H462" s="1">
        <v>43273</v>
      </c>
      <c r="I462" s="1">
        <v>43275</v>
      </c>
      <c r="J462">
        <v>2</v>
      </c>
    </row>
    <row r="463" spans="1:10" x14ac:dyDescent="0.25">
      <c r="A463">
        <v>265266</v>
      </c>
      <c r="B463">
        <v>325698</v>
      </c>
      <c r="C463" t="s">
        <v>15</v>
      </c>
      <c r="D463">
        <v>969</v>
      </c>
      <c r="E463">
        <v>4845</v>
      </c>
      <c r="F463">
        <v>2422.5</v>
      </c>
      <c r="G463">
        <v>2422.5</v>
      </c>
      <c r="H463" s="1">
        <v>43272</v>
      </c>
      <c r="I463" s="1">
        <v>43274</v>
      </c>
      <c r="J463">
        <v>2</v>
      </c>
    </row>
    <row r="464" spans="1:10" x14ac:dyDescent="0.25">
      <c r="A464">
        <v>220619</v>
      </c>
      <c r="B464">
        <v>985245</v>
      </c>
      <c r="C464" t="s">
        <v>13</v>
      </c>
      <c r="D464">
        <v>224</v>
      </c>
      <c r="E464">
        <v>1120</v>
      </c>
      <c r="F464">
        <v>560</v>
      </c>
      <c r="G464">
        <v>560</v>
      </c>
      <c r="H464" s="1">
        <v>43270</v>
      </c>
      <c r="I464" s="1">
        <v>43274</v>
      </c>
      <c r="J464">
        <v>4</v>
      </c>
    </row>
    <row r="465" spans="1:10" x14ac:dyDescent="0.25">
      <c r="A465">
        <v>304705</v>
      </c>
      <c r="B465">
        <v>785432</v>
      </c>
      <c r="C465" t="s">
        <v>14</v>
      </c>
      <c r="D465">
        <v>800</v>
      </c>
      <c r="E465">
        <v>4000</v>
      </c>
      <c r="F465">
        <v>2000</v>
      </c>
      <c r="G465">
        <v>2000</v>
      </c>
      <c r="H465" s="1">
        <v>43269</v>
      </c>
      <c r="I465" s="1">
        <v>43274</v>
      </c>
      <c r="J465">
        <v>5</v>
      </c>
    </row>
    <row r="466" spans="1:10" x14ac:dyDescent="0.25">
      <c r="A466">
        <v>882058</v>
      </c>
      <c r="B466">
        <v>985245</v>
      </c>
      <c r="C466" t="s">
        <v>13</v>
      </c>
      <c r="D466">
        <v>799</v>
      </c>
      <c r="E466">
        <v>3995</v>
      </c>
      <c r="F466">
        <v>1997.5</v>
      </c>
      <c r="G466">
        <v>1997.5</v>
      </c>
      <c r="H466" s="1">
        <v>43269</v>
      </c>
      <c r="I466" s="1">
        <v>43273</v>
      </c>
      <c r="J466">
        <v>4</v>
      </c>
    </row>
    <row r="467" spans="1:10" x14ac:dyDescent="0.25">
      <c r="A467">
        <v>533316</v>
      </c>
      <c r="B467">
        <v>985245</v>
      </c>
      <c r="C467" t="s">
        <v>13</v>
      </c>
      <c r="D467">
        <v>978</v>
      </c>
      <c r="E467">
        <v>4890</v>
      </c>
      <c r="F467">
        <v>2445</v>
      </c>
      <c r="G467">
        <v>2445</v>
      </c>
      <c r="H467" s="1">
        <v>43269</v>
      </c>
      <c r="I467" s="1">
        <v>43273</v>
      </c>
      <c r="J467">
        <v>4</v>
      </c>
    </row>
    <row r="468" spans="1:10" x14ac:dyDescent="0.25">
      <c r="A468">
        <v>530286</v>
      </c>
      <c r="B468">
        <v>785432</v>
      </c>
      <c r="C468" t="s">
        <v>14</v>
      </c>
      <c r="D468">
        <v>189</v>
      </c>
      <c r="E468">
        <v>945</v>
      </c>
      <c r="F468">
        <v>472.5</v>
      </c>
      <c r="G468">
        <v>472.5</v>
      </c>
      <c r="H468" s="1">
        <v>43268</v>
      </c>
      <c r="I468" s="1">
        <v>43273</v>
      </c>
      <c r="J468">
        <v>5</v>
      </c>
    </row>
    <row r="469" spans="1:10" x14ac:dyDescent="0.25">
      <c r="A469">
        <v>836725</v>
      </c>
      <c r="B469">
        <v>985245</v>
      </c>
      <c r="C469" t="s">
        <v>13</v>
      </c>
      <c r="D469">
        <v>596</v>
      </c>
      <c r="E469">
        <v>2980</v>
      </c>
      <c r="F469">
        <v>1490</v>
      </c>
      <c r="G469">
        <v>1490</v>
      </c>
      <c r="H469" s="1">
        <v>43269</v>
      </c>
      <c r="I469" s="1">
        <v>43272</v>
      </c>
      <c r="J469">
        <v>3</v>
      </c>
    </row>
    <row r="470" spans="1:10" x14ac:dyDescent="0.25">
      <c r="A470">
        <v>698992</v>
      </c>
      <c r="B470">
        <v>152689</v>
      </c>
      <c r="C470" t="s">
        <v>11</v>
      </c>
      <c r="D470">
        <v>168</v>
      </c>
      <c r="E470">
        <v>840</v>
      </c>
      <c r="F470">
        <v>420</v>
      </c>
      <c r="G470">
        <v>420</v>
      </c>
      <c r="H470" s="1">
        <v>43266</v>
      </c>
      <c r="I470" s="1">
        <v>43271</v>
      </c>
      <c r="J470">
        <v>5</v>
      </c>
    </row>
    <row r="471" spans="1:10" x14ac:dyDescent="0.25">
      <c r="A471">
        <v>611440</v>
      </c>
      <c r="B471">
        <v>325698</v>
      </c>
      <c r="C471" t="s">
        <v>15</v>
      </c>
      <c r="D471">
        <v>647</v>
      </c>
      <c r="E471">
        <v>3235</v>
      </c>
      <c r="F471">
        <v>1617.5</v>
      </c>
      <c r="G471">
        <v>1617.5</v>
      </c>
      <c r="H471" s="1">
        <v>43268</v>
      </c>
      <c r="I471" s="1">
        <v>43270</v>
      </c>
      <c r="J471">
        <v>2</v>
      </c>
    </row>
    <row r="472" spans="1:10" x14ac:dyDescent="0.25">
      <c r="A472">
        <v>901659</v>
      </c>
      <c r="B472">
        <v>152689</v>
      </c>
      <c r="C472" t="s">
        <v>11</v>
      </c>
      <c r="D472">
        <v>692</v>
      </c>
      <c r="E472">
        <v>3460</v>
      </c>
      <c r="F472">
        <v>1730</v>
      </c>
      <c r="G472">
        <v>1730</v>
      </c>
      <c r="H472" s="1">
        <v>43265</v>
      </c>
      <c r="I472" s="1">
        <v>43270</v>
      </c>
      <c r="J472">
        <v>5</v>
      </c>
    </row>
    <row r="473" spans="1:10" x14ac:dyDescent="0.25">
      <c r="A473">
        <v>935784</v>
      </c>
      <c r="B473">
        <v>152689</v>
      </c>
      <c r="C473" t="s">
        <v>11</v>
      </c>
      <c r="D473">
        <v>299</v>
      </c>
      <c r="E473">
        <v>1495</v>
      </c>
      <c r="F473">
        <v>747.5</v>
      </c>
      <c r="G473">
        <v>747.5</v>
      </c>
      <c r="H473" s="1">
        <v>43265</v>
      </c>
      <c r="I473" s="1">
        <v>43270</v>
      </c>
      <c r="J473">
        <v>5</v>
      </c>
    </row>
    <row r="474" spans="1:10" x14ac:dyDescent="0.25">
      <c r="A474">
        <v>415107</v>
      </c>
      <c r="B474">
        <v>452584</v>
      </c>
      <c r="C474" t="s">
        <v>12</v>
      </c>
      <c r="D474">
        <v>727</v>
      </c>
      <c r="E474">
        <v>3635</v>
      </c>
      <c r="F474">
        <v>1817.5</v>
      </c>
      <c r="G474">
        <v>1817.5</v>
      </c>
      <c r="H474" s="1">
        <v>43267</v>
      </c>
      <c r="I474" s="1">
        <v>43269</v>
      </c>
      <c r="J474">
        <v>2</v>
      </c>
    </row>
    <row r="475" spans="1:10" x14ac:dyDescent="0.25">
      <c r="A475">
        <v>140406</v>
      </c>
      <c r="B475">
        <v>325698</v>
      </c>
      <c r="C475" t="s">
        <v>15</v>
      </c>
      <c r="D475">
        <v>781</v>
      </c>
      <c r="E475">
        <v>3905</v>
      </c>
      <c r="F475">
        <v>1952.5</v>
      </c>
      <c r="G475">
        <v>1952.5</v>
      </c>
      <c r="H475" s="1">
        <v>43267</v>
      </c>
      <c r="I475" s="1">
        <v>43269</v>
      </c>
      <c r="J475">
        <v>2</v>
      </c>
    </row>
    <row r="476" spans="1:10" x14ac:dyDescent="0.25">
      <c r="A476">
        <v>686427</v>
      </c>
      <c r="B476">
        <v>985245</v>
      </c>
      <c r="C476" t="s">
        <v>13</v>
      </c>
      <c r="D476">
        <v>759</v>
      </c>
      <c r="E476">
        <v>3795</v>
      </c>
      <c r="F476">
        <v>1897.5</v>
      </c>
      <c r="G476">
        <v>1897.5</v>
      </c>
      <c r="H476" s="1">
        <v>43265</v>
      </c>
      <c r="I476" s="1">
        <v>43269</v>
      </c>
      <c r="J476">
        <v>4</v>
      </c>
    </row>
    <row r="477" spans="1:10" x14ac:dyDescent="0.25">
      <c r="A477">
        <v>279949</v>
      </c>
      <c r="B477">
        <v>985245</v>
      </c>
      <c r="C477" t="s">
        <v>13</v>
      </c>
      <c r="D477">
        <v>902</v>
      </c>
      <c r="E477">
        <v>4510</v>
      </c>
      <c r="F477">
        <v>2255</v>
      </c>
      <c r="G477">
        <v>2255</v>
      </c>
      <c r="H477" s="1">
        <v>43263</v>
      </c>
      <c r="I477" s="1">
        <v>43267</v>
      </c>
      <c r="J477">
        <v>4</v>
      </c>
    </row>
    <row r="478" spans="1:10" x14ac:dyDescent="0.25">
      <c r="A478">
        <v>893977</v>
      </c>
      <c r="B478">
        <v>152689</v>
      </c>
      <c r="C478" t="s">
        <v>11</v>
      </c>
      <c r="D478">
        <v>887</v>
      </c>
      <c r="E478">
        <v>4435</v>
      </c>
      <c r="F478">
        <v>2217.5</v>
      </c>
      <c r="G478">
        <v>2217.5</v>
      </c>
      <c r="H478" s="1">
        <v>43262</v>
      </c>
      <c r="I478" s="1">
        <v>43267</v>
      </c>
      <c r="J478">
        <v>5</v>
      </c>
    </row>
    <row r="479" spans="1:10" x14ac:dyDescent="0.25">
      <c r="A479">
        <v>931736</v>
      </c>
      <c r="B479">
        <v>325698</v>
      </c>
      <c r="C479" t="s">
        <v>15</v>
      </c>
      <c r="D479">
        <v>941</v>
      </c>
      <c r="E479">
        <v>4705</v>
      </c>
      <c r="F479">
        <v>2352.5</v>
      </c>
      <c r="G479">
        <v>2352.5</v>
      </c>
      <c r="H479" s="1">
        <v>43264</v>
      </c>
      <c r="I479" s="1">
        <v>43266</v>
      </c>
      <c r="J479">
        <v>2</v>
      </c>
    </row>
    <row r="480" spans="1:10" x14ac:dyDescent="0.25">
      <c r="A480">
        <v>149873</v>
      </c>
      <c r="B480">
        <v>152689</v>
      </c>
      <c r="C480" t="s">
        <v>11</v>
      </c>
      <c r="D480">
        <v>851</v>
      </c>
      <c r="E480">
        <v>4255</v>
      </c>
      <c r="F480">
        <v>2127.5</v>
      </c>
      <c r="G480">
        <v>2127.5</v>
      </c>
      <c r="H480" s="1">
        <v>43261</v>
      </c>
      <c r="I480" s="1">
        <v>43266</v>
      </c>
      <c r="J480">
        <v>5</v>
      </c>
    </row>
    <row r="481" spans="1:10" x14ac:dyDescent="0.25">
      <c r="A481">
        <v>125229</v>
      </c>
      <c r="B481">
        <v>152689</v>
      </c>
      <c r="C481" t="s">
        <v>11</v>
      </c>
      <c r="D481">
        <v>938</v>
      </c>
      <c r="E481">
        <v>4690</v>
      </c>
      <c r="F481">
        <v>2345</v>
      </c>
      <c r="G481">
        <v>2345</v>
      </c>
      <c r="H481" s="1">
        <v>43261</v>
      </c>
      <c r="I481" s="1">
        <v>43266</v>
      </c>
      <c r="J481">
        <v>5</v>
      </c>
    </row>
    <row r="482" spans="1:10" x14ac:dyDescent="0.25">
      <c r="A482">
        <v>591352</v>
      </c>
      <c r="B482">
        <v>785432</v>
      </c>
      <c r="C482" t="s">
        <v>14</v>
      </c>
      <c r="D482">
        <v>216</v>
      </c>
      <c r="E482">
        <v>1080</v>
      </c>
      <c r="F482">
        <v>540</v>
      </c>
      <c r="G482">
        <v>540</v>
      </c>
      <c r="H482" s="1">
        <v>43261</v>
      </c>
      <c r="I482" s="1">
        <v>43265</v>
      </c>
      <c r="J482">
        <v>4</v>
      </c>
    </row>
    <row r="483" spans="1:10" x14ac:dyDescent="0.25">
      <c r="A483">
        <v>685588</v>
      </c>
      <c r="B483">
        <v>152689</v>
      </c>
      <c r="C483" t="s">
        <v>11</v>
      </c>
      <c r="D483">
        <v>152</v>
      </c>
      <c r="E483">
        <v>760</v>
      </c>
      <c r="F483">
        <v>380</v>
      </c>
      <c r="G483">
        <v>380</v>
      </c>
      <c r="H483" s="1">
        <v>43259</v>
      </c>
      <c r="I483" s="1">
        <v>43264</v>
      </c>
      <c r="J483">
        <v>5</v>
      </c>
    </row>
    <row r="484" spans="1:10" x14ac:dyDescent="0.25">
      <c r="A484">
        <v>708715</v>
      </c>
      <c r="B484">
        <v>452584</v>
      </c>
      <c r="C484" t="s">
        <v>12</v>
      </c>
      <c r="D484">
        <v>413</v>
      </c>
      <c r="E484">
        <v>2065</v>
      </c>
      <c r="F484">
        <v>1032.5</v>
      </c>
      <c r="G484">
        <v>1032.5</v>
      </c>
      <c r="H484" s="1">
        <v>43261</v>
      </c>
      <c r="I484" s="1">
        <v>43263</v>
      </c>
      <c r="J484">
        <v>2</v>
      </c>
    </row>
    <row r="485" spans="1:10" x14ac:dyDescent="0.25">
      <c r="A485">
        <v>974713</v>
      </c>
      <c r="B485">
        <v>785432</v>
      </c>
      <c r="C485" t="s">
        <v>14</v>
      </c>
      <c r="D485">
        <v>599</v>
      </c>
      <c r="E485">
        <v>2995</v>
      </c>
      <c r="F485">
        <v>1497.5</v>
      </c>
      <c r="G485">
        <v>1497.5</v>
      </c>
      <c r="H485" s="1">
        <v>43258</v>
      </c>
      <c r="I485" s="1">
        <v>43263</v>
      </c>
      <c r="J485">
        <v>5</v>
      </c>
    </row>
    <row r="486" spans="1:10" x14ac:dyDescent="0.25">
      <c r="A486">
        <v>915906</v>
      </c>
      <c r="B486">
        <v>152689</v>
      </c>
      <c r="C486" t="s">
        <v>11</v>
      </c>
      <c r="D486">
        <v>962</v>
      </c>
      <c r="E486">
        <v>4810</v>
      </c>
      <c r="F486">
        <v>2405</v>
      </c>
      <c r="G486">
        <v>2405</v>
      </c>
      <c r="H486" s="1">
        <v>43258</v>
      </c>
      <c r="I486" s="1">
        <v>43263</v>
      </c>
      <c r="J486">
        <v>5</v>
      </c>
    </row>
    <row r="487" spans="1:10" x14ac:dyDescent="0.25">
      <c r="A487">
        <v>618857</v>
      </c>
      <c r="B487">
        <v>985245</v>
      </c>
      <c r="C487" t="s">
        <v>13</v>
      </c>
      <c r="D487">
        <v>174</v>
      </c>
      <c r="E487">
        <v>870</v>
      </c>
      <c r="F487">
        <v>435</v>
      </c>
      <c r="G487">
        <v>435</v>
      </c>
      <c r="H487" s="1">
        <v>43259</v>
      </c>
      <c r="I487" s="1">
        <v>43262</v>
      </c>
      <c r="J487">
        <v>3</v>
      </c>
    </row>
    <row r="488" spans="1:10" x14ac:dyDescent="0.25">
      <c r="A488">
        <v>145523</v>
      </c>
      <c r="B488">
        <v>152689</v>
      </c>
      <c r="C488" t="s">
        <v>11</v>
      </c>
      <c r="D488">
        <v>700</v>
      </c>
      <c r="E488">
        <v>3500</v>
      </c>
      <c r="F488">
        <v>1750</v>
      </c>
      <c r="G488">
        <v>1750</v>
      </c>
      <c r="H488" s="1">
        <v>43257</v>
      </c>
      <c r="I488" s="1">
        <v>43262</v>
      </c>
      <c r="J488">
        <v>5</v>
      </c>
    </row>
    <row r="489" spans="1:10" x14ac:dyDescent="0.25">
      <c r="A489">
        <v>818388</v>
      </c>
      <c r="B489">
        <v>325698</v>
      </c>
      <c r="C489" t="s">
        <v>15</v>
      </c>
      <c r="D489">
        <v>781</v>
      </c>
      <c r="E489">
        <v>3905</v>
      </c>
      <c r="F489">
        <v>1952.5</v>
      </c>
      <c r="G489">
        <v>1952.5</v>
      </c>
      <c r="H489" s="1">
        <v>43259</v>
      </c>
      <c r="I489" s="1">
        <v>43261</v>
      </c>
      <c r="J489">
        <v>2</v>
      </c>
    </row>
    <row r="490" spans="1:10" x14ac:dyDescent="0.25">
      <c r="A490">
        <v>216081</v>
      </c>
      <c r="B490">
        <v>152689</v>
      </c>
      <c r="C490" t="s">
        <v>11</v>
      </c>
      <c r="D490">
        <v>707</v>
      </c>
      <c r="E490">
        <v>3535</v>
      </c>
      <c r="F490">
        <v>1767.5</v>
      </c>
      <c r="G490">
        <v>1767.5</v>
      </c>
      <c r="H490" s="1">
        <v>43256</v>
      </c>
      <c r="I490" s="1">
        <v>43261</v>
      </c>
      <c r="J490">
        <v>5</v>
      </c>
    </row>
    <row r="491" spans="1:10" x14ac:dyDescent="0.25">
      <c r="A491">
        <v>851000</v>
      </c>
      <c r="B491">
        <v>785432</v>
      </c>
      <c r="C491" t="s">
        <v>14</v>
      </c>
      <c r="D491">
        <v>841</v>
      </c>
      <c r="E491">
        <v>4205</v>
      </c>
      <c r="F491">
        <v>2102.5</v>
      </c>
      <c r="G491">
        <v>2102.5</v>
      </c>
      <c r="H491" s="1">
        <v>43255</v>
      </c>
      <c r="I491" s="1">
        <v>43260</v>
      </c>
      <c r="J491">
        <v>5</v>
      </c>
    </row>
    <row r="492" spans="1:10" x14ac:dyDescent="0.25">
      <c r="A492">
        <v>500053</v>
      </c>
      <c r="B492">
        <v>785432</v>
      </c>
      <c r="C492" t="s">
        <v>14</v>
      </c>
      <c r="D492">
        <v>830</v>
      </c>
      <c r="E492">
        <v>4150</v>
      </c>
      <c r="F492">
        <v>2075</v>
      </c>
      <c r="G492">
        <v>2075</v>
      </c>
      <c r="H492" s="1">
        <v>43255</v>
      </c>
      <c r="I492" s="1">
        <v>43260</v>
      </c>
      <c r="J492">
        <v>5</v>
      </c>
    </row>
    <row r="493" spans="1:10" x14ac:dyDescent="0.25">
      <c r="A493">
        <v>380938</v>
      </c>
      <c r="B493">
        <v>325698</v>
      </c>
      <c r="C493" t="s">
        <v>15</v>
      </c>
      <c r="D493">
        <v>602</v>
      </c>
      <c r="E493">
        <v>3010</v>
      </c>
      <c r="F493">
        <v>1505</v>
      </c>
      <c r="G493">
        <v>1505</v>
      </c>
      <c r="H493" s="1">
        <v>43257</v>
      </c>
      <c r="I493" s="1">
        <v>43259</v>
      </c>
      <c r="J493">
        <v>2</v>
      </c>
    </row>
    <row r="494" spans="1:10" x14ac:dyDescent="0.25">
      <c r="A494">
        <v>109095</v>
      </c>
      <c r="B494">
        <v>985245</v>
      </c>
      <c r="C494" t="s">
        <v>13</v>
      </c>
      <c r="D494">
        <v>203</v>
      </c>
      <c r="E494">
        <v>1015</v>
      </c>
      <c r="F494">
        <v>507.5</v>
      </c>
      <c r="G494">
        <v>507.5</v>
      </c>
      <c r="H494" s="1">
        <v>43255</v>
      </c>
      <c r="I494" s="1">
        <v>43259</v>
      </c>
      <c r="J494">
        <v>4</v>
      </c>
    </row>
    <row r="495" spans="1:10" x14ac:dyDescent="0.25">
      <c r="A495">
        <v>680787</v>
      </c>
      <c r="B495">
        <v>785432</v>
      </c>
      <c r="C495" t="s">
        <v>14</v>
      </c>
      <c r="D495">
        <v>385</v>
      </c>
      <c r="E495">
        <v>1925</v>
      </c>
      <c r="F495">
        <v>962.5</v>
      </c>
      <c r="G495">
        <v>962.5</v>
      </c>
      <c r="H495" s="1">
        <v>43254</v>
      </c>
      <c r="I495" s="1">
        <v>43259</v>
      </c>
      <c r="J495">
        <v>5</v>
      </c>
    </row>
    <row r="496" spans="1:10" x14ac:dyDescent="0.25">
      <c r="A496">
        <v>470844</v>
      </c>
      <c r="B496">
        <v>152689</v>
      </c>
      <c r="C496" t="s">
        <v>11</v>
      </c>
      <c r="D496">
        <v>351</v>
      </c>
      <c r="E496">
        <v>1755</v>
      </c>
      <c r="F496">
        <v>877.5</v>
      </c>
      <c r="G496">
        <v>877.5</v>
      </c>
      <c r="H496" s="1">
        <v>43253</v>
      </c>
      <c r="I496" s="1">
        <v>43258</v>
      </c>
      <c r="J496">
        <v>5</v>
      </c>
    </row>
    <row r="497" spans="1:10" x14ac:dyDescent="0.25">
      <c r="A497">
        <v>419903</v>
      </c>
      <c r="B497">
        <v>325698</v>
      </c>
      <c r="C497" t="s">
        <v>15</v>
      </c>
      <c r="D497">
        <v>995</v>
      </c>
      <c r="E497">
        <v>4975</v>
      </c>
      <c r="F497">
        <v>2487.5</v>
      </c>
      <c r="G497">
        <v>2487.5</v>
      </c>
      <c r="H497" s="1">
        <v>43255</v>
      </c>
      <c r="I497" s="1">
        <v>43257</v>
      </c>
      <c r="J497">
        <v>2</v>
      </c>
    </row>
    <row r="498" spans="1:10" x14ac:dyDescent="0.25">
      <c r="A498">
        <v>711340</v>
      </c>
      <c r="B498">
        <v>985245</v>
      </c>
      <c r="C498" t="s">
        <v>13</v>
      </c>
      <c r="D498">
        <v>367</v>
      </c>
      <c r="E498">
        <v>1835</v>
      </c>
      <c r="F498">
        <v>917.5</v>
      </c>
      <c r="G498">
        <v>917.5</v>
      </c>
      <c r="H498" s="1">
        <v>43254</v>
      </c>
      <c r="I498" s="1">
        <v>43257</v>
      </c>
      <c r="J498">
        <v>3</v>
      </c>
    </row>
    <row r="499" spans="1:10" x14ac:dyDescent="0.25">
      <c r="A499">
        <v>361490</v>
      </c>
      <c r="B499">
        <v>985245</v>
      </c>
      <c r="C499" t="s">
        <v>13</v>
      </c>
      <c r="D499">
        <v>846</v>
      </c>
      <c r="E499">
        <v>4230</v>
      </c>
      <c r="F499">
        <v>2115</v>
      </c>
      <c r="G499">
        <v>2115</v>
      </c>
      <c r="H499" s="1">
        <v>43253</v>
      </c>
      <c r="I499" s="1">
        <v>43257</v>
      </c>
      <c r="J499">
        <v>4</v>
      </c>
    </row>
    <row r="500" spans="1:10" x14ac:dyDescent="0.25">
      <c r="A500">
        <v>640066</v>
      </c>
      <c r="B500">
        <v>325698</v>
      </c>
      <c r="C500" t="s">
        <v>15</v>
      </c>
      <c r="D500">
        <v>72</v>
      </c>
      <c r="E500">
        <v>360</v>
      </c>
      <c r="F500">
        <v>180</v>
      </c>
      <c r="G500">
        <v>180</v>
      </c>
      <c r="H500" s="1">
        <v>43254</v>
      </c>
      <c r="I500" s="1">
        <v>43256</v>
      </c>
      <c r="J500">
        <v>2</v>
      </c>
    </row>
    <row r="501" spans="1:10" x14ac:dyDescent="0.25">
      <c r="A501">
        <v>870053</v>
      </c>
      <c r="B501">
        <v>325698</v>
      </c>
      <c r="C501" t="s">
        <v>15</v>
      </c>
      <c r="D501">
        <v>395</v>
      </c>
      <c r="E501">
        <v>1975</v>
      </c>
      <c r="F501">
        <v>987.5</v>
      </c>
      <c r="G501">
        <v>987.5</v>
      </c>
      <c r="H501" s="1">
        <v>43254</v>
      </c>
      <c r="I501" s="1">
        <v>43256</v>
      </c>
      <c r="J501">
        <v>2</v>
      </c>
    </row>
    <row r="502" spans="1:10" x14ac:dyDescent="0.25">
      <c r="A502">
        <v>655938</v>
      </c>
      <c r="B502">
        <v>325698</v>
      </c>
      <c r="C502" t="s">
        <v>15</v>
      </c>
      <c r="D502">
        <v>582</v>
      </c>
      <c r="E502">
        <v>2910</v>
      </c>
      <c r="F502">
        <v>1455</v>
      </c>
      <c r="G502">
        <v>1455</v>
      </c>
      <c r="H502" s="1">
        <v>43252</v>
      </c>
      <c r="I502" s="1">
        <v>43254</v>
      </c>
      <c r="J502">
        <v>2</v>
      </c>
    </row>
    <row r="503" spans="1:10" x14ac:dyDescent="0.25">
      <c r="A503">
        <v>764493</v>
      </c>
      <c r="B503">
        <v>325698</v>
      </c>
      <c r="C503" t="s">
        <v>15</v>
      </c>
      <c r="D503">
        <v>762</v>
      </c>
      <c r="E503">
        <v>3810</v>
      </c>
      <c r="F503">
        <v>1905</v>
      </c>
      <c r="G503">
        <v>1905</v>
      </c>
      <c r="H503" s="1">
        <v>43251</v>
      </c>
      <c r="I503" s="1">
        <v>43254</v>
      </c>
      <c r="J503">
        <v>3</v>
      </c>
    </row>
    <row r="504" spans="1:10" x14ac:dyDescent="0.25">
      <c r="A504">
        <v>468785</v>
      </c>
      <c r="B504">
        <v>325698</v>
      </c>
      <c r="C504" t="s">
        <v>15</v>
      </c>
      <c r="D504">
        <v>340</v>
      </c>
      <c r="E504">
        <v>1700</v>
      </c>
      <c r="F504">
        <v>850</v>
      </c>
      <c r="G504">
        <v>850</v>
      </c>
      <c r="H504" s="1">
        <v>43251</v>
      </c>
      <c r="I504" s="1">
        <v>43254</v>
      </c>
      <c r="J504">
        <v>3</v>
      </c>
    </row>
    <row r="505" spans="1:10" x14ac:dyDescent="0.25">
      <c r="A505">
        <v>735304</v>
      </c>
      <c r="B505">
        <v>985245</v>
      </c>
      <c r="C505" t="s">
        <v>13</v>
      </c>
      <c r="D505">
        <v>162</v>
      </c>
      <c r="E505">
        <v>810</v>
      </c>
      <c r="F505">
        <v>405</v>
      </c>
      <c r="G505">
        <v>405</v>
      </c>
      <c r="H505" s="1">
        <v>43251</v>
      </c>
      <c r="I505" s="1">
        <v>43254</v>
      </c>
      <c r="J505">
        <v>3</v>
      </c>
    </row>
    <row r="506" spans="1:10" x14ac:dyDescent="0.25">
      <c r="A506">
        <v>833974</v>
      </c>
      <c r="B506">
        <v>985245</v>
      </c>
      <c r="C506" t="s">
        <v>13</v>
      </c>
      <c r="D506">
        <v>906</v>
      </c>
      <c r="E506">
        <v>4530</v>
      </c>
      <c r="F506">
        <v>2265</v>
      </c>
      <c r="G506">
        <v>2265</v>
      </c>
      <c r="H506" s="1">
        <v>43250</v>
      </c>
      <c r="I506" s="1">
        <v>43254</v>
      </c>
      <c r="J506">
        <v>4</v>
      </c>
    </row>
    <row r="507" spans="1:10" x14ac:dyDescent="0.25">
      <c r="A507">
        <v>403403</v>
      </c>
      <c r="B507">
        <v>152689</v>
      </c>
      <c r="C507" t="s">
        <v>11</v>
      </c>
      <c r="D507">
        <v>233</v>
      </c>
      <c r="E507">
        <v>1165</v>
      </c>
      <c r="F507">
        <v>582.5</v>
      </c>
      <c r="G507">
        <v>582.5</v>
      </c>
      <c r="H507" s="1">
        <v>43248</v>
      </c>
      <c r="I507" s="1">
        <v>43253</v>
      </c>
      <c r="J507">
        <v>5</v>
      </c>
    </row>
    <row r="508" spans="1:10" x14ac:dyDescent="0.25">
      <c r="A508">
        <v>164109</v>
      </c>
      <c r="B508">
        <v>325698</v>
      </c>
      <c r="C508" t="s">
        <v>15</v>
      </c>
      <c r="D508">
        <v>327</v>
      </c>
      <c r="E508">
        <v>1635</v>
      </c>
      <c r="F508">
        <v>817.5</v>
      </c>
      <c r="G508">
        <v>817.5</v>
      </c>
      <c r="H508" s="1">
        <v>43249</v>
      </c>
      <c r="I508" s="1">
        <v>43252</v>
      </c>
      <c r="J508">
        <v>3</v>
      </c>
    </row>
    <row r="509" spans="1:10" x14ac:dyDescent="0.25">
      <c r="A509">
        <v>351645</v>
      </c>
      <c r="B509">
        <v>325698</v>
      </c>
      <c r="C509" t="s">
        <v>15</v>
      </c>
      <c r="D509">
        <v>351</v>
      </c>
      <c r="E509">
        <v>1755</v>
      </c>
      <c r="F509">
        <v>877.5</v>
      </c>
      <c r="G509">
        <v>877.5</v>
      </c>
      <c r="H509" s="1">
        <v>43249</v>
      </c>
      <c r="I509" s="1">
        <v>43251</v>
      </c>
      <c r="J509">
        <v>2</v>
      </c>
    </row>
    <row r="510" spans="1:10" x14ac:dyDescent="0.25">
      <c r="A510">
        <v>633399</v>
      </c>
      <c r="B510">
        <v>985245</v>
      </c>
      <c r="C510" t="s">
        <v>13</v>
      </c>
      <c r="D510">
        <v>333</v>
      </c>
      <c r="E510">
        <v>1665</v>
      </c>
      <c r="F510">
        <v>832.5</v>
      </c>
      <c r="G510">
        <v>832.5</v>
      </c>
      <c r="H510" s="1">
        <v>43247</v>
      </c>
      <c r="I510" s="1">
        <v>43251</v>
      </c>
      <c r="J510">
        <v>4</v>
      </c>
    </row>
    <row r="511" spans="1:10" x14ac:dyDescent="0.25">
      <c r="A511">
        <v>244749</v>
      </c>
      <c r="B511">
        <v>152689</v>
      </c>
      <c r="C511" t="s">
        <v>11</v>
      </c>
      <c r="D511">
        <v>497</v>
      </c>
      <c r="E511">
        <v>2485</v>
      </c>
      <c r="F511">
        <v>1242.5</v>
      </c>
      <c r="G511">
        <v>1242.5</v>
      </c>
      <c r="H511" s="1">
        <v>43246</v>
      </c>
      <c r="I511" s="1">
        <v>43251</v>
      </c>
      <c r="J511">
        <v>5</v>
      </c>
    </row>
    <row r="512" spans="1:10" x14ac:dyDescent="0.25">
      <c r="A512">
        <v>150237</v>
      </c>
      <c r="B512">
        <v>325698</v>
      </c>
      <c r="C512" t="s">
        <v>15</v>
      </c>
      <c r="D512">
        <v>425</v>
      </c>
      <c r="E512">
        <v>2125</v>
      </c>
      <c r="F512">
        <v>1062.5</v>
      </c>
      <c r="G512">
        <v>1062.5</v>
      </c>
      <c r="H512" s="1">
        <v>43248</v>
      </c>
      <c r="I512" s="1">
        <v>43250</v>
      </c>
      <c r="J512">
        <v>2</v>
      </c>
    </row>
    <row r="513" spans="1:10" x14ac:dyDescent="0.25">
      <c r="A513">
        <v>253253</v>
      </c>
      <c r="B513">
        <v>325698</v>
      </c>
      <c r="C513" t="s">
        <v>15</v>
      </c>
      <c r="D513">
        <v>157</v>
      </c>
      <c r="E513">
        <v>785</v>
      </c>
      <c r="F513">
        <v>392.5</v>
      </c>
      <c r="G513">
        <v>392.5</v>
      </c>
      <c r="H513" s="1">
        <v>43247</v>
      </c>
      <c r="I513" s="1">
        <v>43250</v>
      </c>
      <c r="J513">
        <v>3</v>
      </c>
    </row>
    <row r="514" spans="1:10" x14ac:dyDescent="0.25">
      <c r="A514">
        <v>764316</v>
      </c>
      <c r="B514">
        <v>785432</v>
      </c>
      <c r="C514" t="s">
        <v>14</v>
      </c>
      <c r="D514">
        <v>307</v>
      </c>
      <c r="E514">
        <v>1535</v>
      </c>
      <c r="F514">
        <v>767.5</v>
      </c>
      <c r="G514">
        <v>767.5</v>
      </c>
      <c r="H514" s="1">
        <v>43246</v>
      </c>
      <c r="I514" s="1">
        <v>43250</v>
      </c>
      <c r="J514">
        <v>4</v>
      </c>
    </row>
    <row r="515" spans="1:10" x14ac:dyDescent="0.25">
      <c r="A515">
        <v>600196</v>
      </c>
      <c r="B515">
        <v>152689</v>
      </c>
      <c r="C515" t="s">
        <v>11</v>
      </c>
      <c r="D515">
        <v>119</v>
      </c>
      <c r="E515">
        <v>595</v>
      </c>
      <c r="F515">
        <v>297.5</v>
      </c>
      <c r="G515">
        <v>297.5</v>
      </c>
      <c r="H515" s="1">
        <v>43245</v>
      </c>
      <c r="I515" s="1">
        <v>43250</v>
      </c>
      <c r="J515">
        <v>5</v>
      </c>
    </row>
    <row r="516" spans="1:10" x14ac:dyDescent="0.25">
      <c r="A516">
        <v>680509</v>
      </c>
      <c r="B516">
        <v>325698</v>
      </c>
      <c r="C516" t="s">
        <v>15</v>
      </c>
      <c r="D516">
        <v>293</v>
      </c>
      <c r="E516">
        <v>1465</v>
      </c>
      <c r="F516">
        <v>732.5</v>
      </c>
      <c r="G516">
        <v>732.5</v>
      </c>
      <c r="H516" s="1">
        <v>43245</v>
      </c>
      <c r="I516" s="1">
        <v>43248</v>
      </c>
      <c r="J516">
        <v>3</v>
      </c>
    </row>
    <row r="517" spans="1:10" x14ac:dyDescent="0.25">
      <c r="A517">
        <v>814843</v>
      </c>
      <c r="B517">
        <v>785432</v>
      </c>
      <c r="C517" t="s">
        <v>14</v>
      </c>
      <c r="D517">
        <v>120</v>
      </c>
      <c r="E517">
        <v>600</v>
      </c>
      <c r="F517">
        <v>300</v>
      </c>
      <c r="G517">
        <v>300</v>
      </c>
      <c r="H517" s="1">
        <v>43243</v>
      </c>
      <c r="I517" s="1">
        <v>43248</v>
      </c>
      <c r="J517">
        <v>5</v>
      </c>
    </row>
    <row r="518" spans="1:10" x14ac:dyDescent="0.25">
      <c r="A518">
        <v>301328</v>
      </c>
      <c r="B518">
        <v>785432</v>
      </c>
      <c r="C518" t="s">
        <v>14</v>
      </c>
      <c r="D518">
        <v>910</v>
      </c>
      <c r="E518">
        <v>4550</v>
      </c>
      <c r="F518">
        <v>2275</v>
      </c>
      <c r="G518">
        <v>2275</v>
      </c>
      <c r="H518" s="1">
        <v>43243</v>
      </c>
      <c r="I518" s="1">
        <v>43248</v>
      </c>
      <c r="J518">
        <v>5</v>
      </c>
    </row>
    <row r="519" spans="1:10" x14ac:dyDescent="0.25">
      <c r="A519">
        <v>781433</v>
      </c>
      <c r="B519">
        <v>452584</v>
      </c>
      <c r="C519" t="s">
        <v>12</v>
      </c>
      <c r="D519">
        <v>996</v>
      </c>
      <c r="E519">
        <v>4980</v>
      </c>
      <c r="F519">
        <v>2490</v>
      </c>
      <c r="G519">
        <v>2490</v>
      </c>
      <c r="H519" s="1">
        <v>43245</v>
      </c>
      <c r="I519" s="1">
        <v>43247</v>
      </c>
      <c r="J519">
        <v>2</v>
      </c>
    </row>
    <row r="520" spans="1:10" x14ac:dyDescent="0.25">
      <c r="A520">
        <v>665021</v>
      </c>
      <c r="B520">
        <v>985245</v>
      </c>
      <c r="C520" t="s">
        <v>13</v>
      </c>
      <c r="D520">
        <v>911</v>
      </c>
      <c r="E520">
        <v>4555</v>
      </c>
      <c r="F520">
        <v>2277.5</v>
      </c>
      <c r="G520">
        <v>2277.5</v>
      </c>
      <c r="H520" s="1">
        <v>43243</v>
      </c>
      <c r="I520" s="1">
        <v>43247</v>
      </c>
      <c r="J520">
        <v>4</v>
      </c>
    </row>
    <row r="521" spans="1:10" x14ac:dyDescent="0.25">
      <c r="A521">
        <v>889545</v>
      </c>
      <c r="B521">
        <v>985245</v>
      </c>
      <c r="C521" t="s">
        <v>13</v>
      </c>
      <c r="D521">
        <v>587</v>
      </c>
      <c r="E521">
        <v>2935</v>
      </c>
      <c r="F521">
        <v>1467.5</v>
      </c>
      <c r="G521">
        <v>1467.5</v>
      </c>
      <c r="H521" s="1">
        <v>43243</v>
      </c>
      <c r="I521" s="1">
        <v>43247</v>
      </c>
      <c r="J521">
        <v>4</v>
      </c>
    </row>
    <row r="522" spans="1:10" x14ac:dyDescent="0.25">
      <c r="A522">
        <v>715948</v>
      </c>
      <c r="B522">
        <v>785432</v>
      </c>
      <c r="C522" t="s">
        <v>14</v>
      </c>
      <c r="D522">
        <v>320</v>
      </c>
      <c r="E522">
        <v>1600</v>
      </c>
      <c r="F522">
        <v>800</v>
      </c>
      <c r="G522">
        <v>800</v>
      </c>
      <c r="H522" s="1">
        <v>43242</v>
      </c>
      <c r="I522" s="1">
        <v>43246</v>
      </c>
      <c r="J522">
        <v>4</v>
      </c>
    </row>
    <row r="523" spans="1:10" x14ac:dyDescent="0.25">
      <c r="A523">
        <v>792279</v>
      </c>
      <c r="B523">
        <v>785432</v>
      </c>
      <c r="C523" t="s">
        <v>14</v>
      </c>
      <c r="D523">
        <v>719</v>
      </c>
      <c r="E523">
        <v>3595</v>
      </c>
      <c r="F523">
        <v>1797.5</v>
      </c>
      <c r="G523">
        <v>1797.5</v>
      </c>
      <c r="H523" s="1">
        <v>43240</v>
      </c>
      <c r="I523" s="1">
        <v>43245</v>
      </c>
      <c r="J523">
        <v>5</v>
      </c>
    </row>
    <row r="524" spans="1:10" x14ac:dyDescent="0.25">
      <c r="A524">
        <v>574487</v>
      </c>
      <c r="B524">
        <v>785432</v>
      </c>
      <c r="C524" t="s">
        <v>14</v>
      </c>
      <c r="D524">
        <v>522</v>
      </c>
      <c r="E524">
        <v>2610</v>
      </c>
      <c r="F524">
        <v>1305</v>
      </c>
      <c r="G524">
        <v>1305</v>
      </c>
      <c r="H524" s="1">
        <v>43240</v>
      </c>
      <c r="I524" s="1">
        <v>43245</v>
      </c>
      <c r="J524">
        <v>5</v>
      </c>
    </row>
    <row r="525" spans="1:10" x14ac:dyDescent="0.25">
      <c r="A525">
        <v>810063</v>
      </c>
      <c r="B525">
        <v>152689</v>
      </c>
      <c r="C525" t="s">
        <v>11</v>
      </c>
      <c r="D525">
        <v>366</v>
      </c>
      <c r="E525">
        <v>1830</v>
      </c>
      <c r="F525">
        <v>915</v>
      </c>
      <c r="G525">
        <v>915</v>
      </c>
      <c r="H525" s="1">
        <v>43240</v>
      </c>
      <c r="I525" s="1">
        <v>43245</v>
      </c>
      <c r="J525">
        <v>5</v>
      </c>
    </row>
    <row r="526" spans="1:10" x14ac:dyDescent="0.25">
      <c r="A526">
        <v>309400</v>
      </c>
      <c r="B526">
        <v>452584</v>
      </c>
      <c r="C526" t="s">
        <v>12</v>
      </c>
      <c r="D526">
        <v>94</v>
      </c>
      <c r="E526">
        <v>470</v>
      </c>
      <c r="F526">
        <v>235</v>
      </c>
      <c r="G526">
        <v>235</v>
      </c>
      <c r="H526" s="1">
        <v>43242</v>
      </c>
      <c r="I526" s="1">
        <v>43244</v>
      </c>
      <c r="J526">
        <v>2</v>
      </c>
    </row>
    <row r="527" spans="1:10" x14ac:dyDescent="0.25">
      <c r="A527">
        <v>418700</v>
      </c>
      <c r="B527">
        <v>985245</v>
      </c>
      <c r="C527" t="s">
        <v>13</v>
      </c>
      <c r="D527">
        <v>963</v>
      </c>
      <c r="E527">
        <v>4815</v>
      </c>
      <c r="F527">
        <v>2407.5</v>
      </c>
      <c r="G527">
        <v>2407.5</v>
      </c>
      <c r="H527" s="1">
        <v>43240</v>
      </c>
      <c r="I527" s="1">
        <v>43244</v>
      </c>
      <c r="J527">
        <v>4</v>
      </c>
    </row>
    <row r="528" spans="1:10" x14ac:dyDescent="0.25">
      <c r="A528">
        <v>323420</v>
      </c>
      <c r="B528">
        <v>785432</v>
      </c>
      <c r="C528" t="s">
        <v>14</v>
      </c>
      <c r="D528">
        <v>811</v>
      </c>
      <c r="E528">
        <v>4055</v>
      </c>
      <c r="F528">
        <v>2027.5</v>
      </c>
      <c r="G528">
        <v>2027.5</v>
      </c>
      <c r="H528" s="1">
        <v>43240</v>
      </c>
      <c r="I528" s="1">
        <v>43244</v>
      </c>
      <c r="J528">
        <v>4</v>
      </c>
    </row>
    <row r="529" spans="1:10" x14ac:dyDescent="0.25">
      <c r="A529">
        <v>129296</v>
      </c>
      <c r="B529">
        <v>152689</v>
      </c>
      <c r="C529" t="s">
        <v>11</v>
      </c>
      <c r="D529">
        <v>870</v>
      </c>
      <c r="E529">
        <v>4350</v>
      </c>
      <c r="F529">
        <v>2175</v>
      </c>
      <c r="G529">
        <v>2175</v>
      </c>
      <c r="H529" s="1">
        <v>43239</v>
      </c>
      <c r="I529" s="1">
        <v>43244</v>
      </c>
      <c r="J529">
        <v>5</v>
      </c>
    </row>
    <row r="530" spans="1:10" x14ac:dyDescent="0.25">
      <c r="A530">
        <v>423318</v>
      </c>
      <c r="B530">
        <v>785432</v>
      </c>
      <c r="C530" t="s">
        <v>14</v>
      </c>
      <c r="D530">
        <v>702</v>
      </c>
      <c r="E530">
        <v>3510</v>
      </c>
      <c r="F530">
        <v>1755</v>
      </c>
      <c r="G530">
        <v>1755</v>
      </c>
      <c r="H530" s="1">
        <v>43238</v>
      </c>
      <c r="I530" s="1">
        <v>43243</v>
      </c>
      <c r="J530">
        <v>5</v>
      </c>
    </row>
    <row r="531" spans="1:10" x14ac:dyDescent="0.25">
      <c r="A531">
        <v>874321</v>
      </c>
      <c r="B531">
        <v>152689</v>
      </c>
      <c r="C531" t="s">
        <v>11</v>
      </c>
      <c r="D531">
        <v>399</v>
      </c>
      <c r="E531">
        <v>1995</v>
      </c>
      <c r="F531">
        <v>997.5</v>
      </c>
      <c r="G531">
        <v>997.5</v>
      </c>
      <c r="H531" s="1">
        <v>43238</v>
      </c>
      <c r="I531" s="1">
        <v>43243</v>
      </c>
      <c r="J531">
        <v>5</v>
      </c>
    </row>
    <row r="532" spans="1:10" x14ac:dyDescent="0.25">
      <c r="A532">
        <v>528133</v>
      </c>
      <c r="B532">
        <v>785432</v>
      </c>
      <c r="C532" t="s">
        <v>14</v>
      </c>
      <c r="D532">
        <v>85</v>
      </c>
      <c r="E532">
        <v>425</v>
      </c>
      <c r="F532">
        <v>212.5</v>
      </c>
      <c r="G532">
        <v>212.5</v>
      </c>
      <c r="H532" s="1">
        <v>43238</v>
      </c>
      <c r="I532" s="1">
        <v>43242</v>
      </c>
      <c r="J532">
        <v>4</v>
      </c>
    </row>
    <row r="533" spans="1:10" x14ac:dyDescent="0.25">
      <c r="A533">
        <v>534605</v>
      </c>
      <c r="B533">
        <v>152689</v>
      </c>
      <c r="C533" t="s">
        <v>11</v>
      </c>
      <c r="D533">
        <v>273</v>
      </c>
      <c r="E533">
        <v>1365</v>
      </c>
      <c r="F533">
        <v>682.5</v>
      </c>
      <c r="G533">
        <v>682.5</v>
      </c>
      <c r="H533" s="1">
        <v>43236</v>
      </c>
      <c r="I533" s="1">
        <v>43241</v>
      </c>
      <c r="J533">
        <v>5</v>
      </c>
    </row>
    <row r="534" spans="1:10" x14ac:dyDescent="0.25">
      <c r="A534">
        <v>110564</v>
      </c>
      <c r="B534">
        <v>325698</v>
      </c>
      <c r="C534" t="s">
        <v>15</v>
      </c>
      <c r="D534">
        <v>922</v>
      </c>
      <c r="E534">
        <v>4610</v>
      </c>
      <c r="F534">
        <v>2305</v>
      </c>
      <c r="G534">
        <v>2305</v>
      </c>
      <c r="H534" s="1">
        <v>43238</v>
      </c>
      <c r="I534" s="1">
        <v>43240</v>
      </c>
      <c r="J534">
        <v>2</v>
      </c>
    </row>
    <row r="535" spans="1:10" x14ac:dyDescent="0.25">
      <c r="A535">
        <v>856782</v>
      </c>
      <c r="B535">
        <v>325698</v>
      </c>
      <c r="C535" t="s">
        <v>15</v>
      </c>
      <c r="D535">
        <v>671</v>
      </c>
      <c r="E535">
        <v>3355</v>
      </c>
      <c r="F535">
        <v>1677.5</v>
      </c>
      <c r="G535">
        <v>1677.5</v>
      </c>
      <c r="H535" s="1">
        <v>43238</v>
      </c>
      <c r="I535" s="1">
        <v>43240</v>
      </c>
      <c r="J535">
        <v>2</v>
      </c>
    </row>
    <row r="536" spans="1:10" x14ac:dyDescent="0.25">
      <c r="A536">
        <v>887512</v>
      </c>
      <c r="B536">
        <v>985245</v>
      </c>
      <c r="C536" t="s">
        <v>13</v>
      </c>
      <c r="D536">
        <v>643</v>
      </c>
      <c r="E536">
        <v>3215</v>
      </c>
      <c r="F536">
        <v>1607.5</v>
      </c>
      <c r="G536">
        <v>1607.5</v>
      </c>
      <c r="H536" s="1">
        <v>43237</v>
      </c>
      <c r="I536" s="1">
        <v>43240</v>
      </c>
      <c r="J536">
        <v>3</v>
      </c>
    </row>
    <row r="537" spans="1:10" x14ac:dyDescent="0.25">
      <c r="A537">
        <v>684505</v>
      </c>
      <c r="B537">
        <v>785432</v>
      </c>
      <c r="C537" t="s">
        <v>14</v>
      </c>
      <c r="D537">
        <v>153</v>
      </c>
      <c r="E537">
        <v>765</v>
      </c>
      <c r="F537">
        <v>382.5</v>
      </c>
      <c r="G537">
        <v>382.5</v>
      </c>
      <c r="H537" s="1">
        <v>43235</v>
      </c>
      <c r="I537" s="1">
        <v>43240</v>
      </c>
      <c r="J537">
        <v>5</v>
      </c>
    </row>
    <row r="538" spans="1:10" x14ac:dyDescent="0.25">
      <c r="A538">
        <v>968897</v>
      </c>
      <c r="B538">
        <v>785432</v>
      </c>
      <c r="C538" t="s">
        <v>14</v>
      </c>
      <c r="D538">
        <v>997</v>
      </c>
      <c r="E538">
        <v>4985</v>
      </c>
      <c r="F538">
        <v>2492.5</v>
      </c>
      <c r="G538">
        <v>2492.5</v>
      </c>
      <c r="H538" s="1">
        <v>43234</v>
      </c>
      <c r="I538" s="1">
        <v>43239</v>
      </c>
      <c r="J538">
        <v>5</v>
      </c>
    </row>
    <row r="539" spans="1:10" x14ac:dyDescent="0.25">
      <c r="A539">
        <v>123392</v>
      </c>
      <c r="B539">
        <v>325698</v>
      </c>
      <c r="C539" t="s">
        <v>15</v>
      </c>
      <c r="D539">
        <v>219</v>
      </c>
      <c r="E539">
        <v>1095</v>
      </c>
      <c r="F539">
        <v>547.5</v>
      </c>
      <c r="G539">
        <v>547.5</v>
      </c>
      <c r="H539" s="1">
        <v>43236</v>
      </c>
      <c r="I539" s="1">
        <v>43238</v>
      </c>
      <c r="J539">
        <v>2</v>
      </c>
    </row>
    <row r="540" spans="1:10" x14ac:dyDescent="0.25">
      <c r="A540">
        <v>114994</v>
      </c>
      <c r="B540">
        <v>985245</v>
      </c>
      <c r="C540" t="s">
        <v>13</v>
      </c>
      <c r="D540">
        <v>298</v>
      </c>
      <c r="E540">
        <v>1490</v>
      </c>
      <c r="F540">
        <v>745</v>
      </c>
      <c r="G540">
        <v>745</v>
      </c>
      <c r="H540" s="1">
        <v>43234</v>
      </c>
      <c r="I540" s="1">
        <v>43238</v>
      </c>
      <c r="J540">
        <v>4</v>
      </c>
    </row>
    <row r="541" spans="1:10" x14ac:dyDescent="0.25">
      <c r="A541">
        <v>292969</v>
      </c>
      <c r="B541">
        <v>785432</v>
      </c>
      <c r="C541" t="s">
        <v>14</v>
      </c>
      <c r="D541">
        <v>870</v>
      </c>
      <c r="E541">
        <v>4350</v>
      </c>
      <c r="F541">
        <v>2175</v>
      </c>
      <c r="G541">
        <v>2175</v>
      </c>
      <c r="H541" s="1">
        <v>43234</v>
      </c>
      <c r="I541" s="1">
        <v>43238</v>
      </c>
      <c r="J541">
        <v>4</v>
      </c>
    </row>
    <row r="542" spans="1:10" x14ac:dyDescent="0.25">
      <c r="A542">
        <v>175927</v>
      </c>
      <c r="B542">
        <v>152689</v>
      </c>
      <c r="C542" t="s">
        <v>11</v>
      </c>
      <c r="D542">
        <v>720</v>
      </c>
      <c r="E542">
        <v>3600</v>
      </c>
      <c r="F542">
        <v>1800</v>
      </c>
      <c r="G542">
        <v>1800</v>
      </c>
      <c r="H542" s="1">
        <v>43233</v>
      </c>
      <c r="I542" s="1">
        <v>43238</v>
      </c>
      <c r="J542">
        <v>5</v>
      </c>
    </row>
    <row r="543" spans="1:10" x14ac:dyDescent="0.25">
      <c r="A543">
        <v>542201</v>
      </c>
      <c r="B543">
        <v>152689</v>
      </c>
      <c r="C543" t="s">
        <v>11</v>
      </c>
      <c r="D543">
        <v>514</v>
      </c>
      <c r="E543">
        <v>2570</v>
      </c>
      <c r="F543">
        <v>1285</v>
      </c>
      <c r="G543">
        <v>1285</v>
      </c>
      <c r="H543" s="1">
        <v>43233</v>
      </c>
      <c r="I543" s="1">
        <v>43238</v>
      </c>
      <c r="J543">
        <v>5</v>
      </c>
    </row>
    <row r="544" spans="1:10" x14ac:dyDescent="0.25">
      <c r="A544">
        <v>922797</v>
      </c>
      <c r="B544">
        <v>325698</v>
      </c>
      <c r="C544" t="s">
        <v>15</v>
      </c>
      <c r="D544">
        <v>557</v>
      </c>
      <c r="E544">
        <v>2785</v>
      </c>
      <c r="F544">
        <v>1392.5</v>
      </c>
      <c r="G544">
        <v>1392.5</v>
      </c>
      <c r="H544" s="1">
        <v>43235</v>
      </c>
      <c r="I544" s="1">
        <v>43237</v>
      </c>
      <c r="J544">
        <v>2</v>
      </c>
    </row>
    <row r="545" spans="1:10" x14ac:dyDescent="0.25">
      <c r="A545">
        <v>350812</v>
      </c>
      <c r="B545">
        <v>985245</v>
      </c>
      <c r="C545" t="s">
        <v>13</v>
      </c>
      <c r="D545">
        <v>354</v>
      </c>
      <c r="E545">
        <v>1770</v>
      </c>
      <c r="F545">
        <v>885</v>
      </c>
      <c r="G545">
        <v>885</v>
      </c>
      <c r="H545" s="1">
        <v>43233</v>
      </c>
      <c r="I545" s="1">
        <v>43237</v>
      </c>
      <c r="J545">
        <v>4</v>
      </c>
    </row>
    <row r="546" spans="1:10" x14ac:dyDescent="0.25">
      <c r="A546">
        <v>297357</v>
      </c>
      <c r="B546">
        <v>785432</v>
      </c>
      <c r="C546" t="s">
        <v>14</v>
      </c>
      <c r="D546">
        <v>928</v>
      </c>
      <c r="E546">
        <v>4640</v>
      </c>
      <c r="F546">
        <v>2320</v>
      </c>
      <c r="G546">
        <v>2320</v>
      </c>
      <c r="H546" s="1">
        <v>43233</v>
      </c>
      <c r="I546" s="1">
        <v>43237</v>
      </c>
      <c r="J546">
        <v>4</v>
      </c>
    </row>
    <row r="547" spans="1:10" x14ac:dyDescent="0.25">
      <c r="A547">
        <v>284578</v>
      </c>
      <c r="B547">
        <v>785432</v>
      </c>
      <c r="C547" t="s">
        <v>14</v>
      </c>
      <c r="D547">
        <v>102</v>
      </c>
      <c r="E547">
        <v>510</v>
      </c>
      <c r="F547">
        <v>255</v>
      </c>
      <c r="G547">
        <v>255</v>
      </c>
      <c r="H547" s="1">
        <v>43233</v>
      </c>
      <c r="I547" s="1">
        <v>43237</v>
      </c>
      <c r="J547">
        <v>4</v>
      </c>
    </row>
    <row r="548" spans="1:10" x14ac:dyDescent="0.25">
      <c r="A548">
        <v>571250</v>
      </c>
      <c r="B548">
        <v>325698</v>
      </c>
      <c r="C548" t="s">
        <v>15</v>
      </c>
      <c r="D548">
        <v>240</v>
      </c>
      <c r="E548">
        <v>1200</v>
      </c>
      <c r="F548">
        <v>600</v>
      </c>
      <c r="G548">
        <v>600</v>
      </c>
      <c r="H548" s="1">
        <v>43234</v>
      </c>
      <c r="I548" s="1">
        <v>43236</v>
      </c>
      <c r="J548">
        <v>2</v>
      </c>
    </row>
    <row r="549" spans="1:10" x14ac:dyDescent="0.25">
      <c r="A549">
        <v>298069</v>
      </c>
      <c r="B549">
        <v>985245</v>
      </c>
      <c r="C549" t="s">
        <v>13</v>
      </c>
      <c r="D549">
        <v>446</v>
      </c>
      <c r="E549">
        <v>2230</v>
      </c>
      <c r="F549">
        <v>1115</v>
      </c>
      <c r="G549">
        <v>1115</v>
      </c>
      <c r="H549" s="1">
        <v>43232</v>
      </c>
      <c r="I549" s="1">
        <v>43236</v>
      </c>
      <c r="J549">
        <v>4</v>
      </c>
    </row>
    <row r="550" spans="1:10" x14ac:dyDescent="0.25">
      <c r="A550">
        <v>126942</v>
      </c>
      <c r="B550">
        <v>325698</v>
      </c>
      <c r="C550" t="s">
        <v>15</v>
      </c>
      <c r="D550">
        <v>896</v>
      </c>
      <c r="E550">
        <v>4480</v>
      </c>
      <c r="F550">
        <v>2240</v>
      </c>
      <c r="G550">
        <v>2240</v>
      </c>
      <c r="H550" s="1">
        <v>43233</v>
      </c>
      <c r="I550" s="1">
        <v>43235</v>
      </c>
      <c r="J550">
        <v>2</v>
      </c>
    </row>
    <row r="551" spans="1:10" x14ac:dyDescent="0.25">
      <c r="A551">
        <v>743717</v>
      </c>
      <c r="B551">
        <v>325698</v>
      </c>
      <c r="C551" t="s">
        <v>15</v>
      </c>
      <c r="D551">
        <v>80</v>
      </c>
      <c r="E551">
        <v>400</v>
      </c>
      <c r="F551">
        <v>200</v>
      </c>
      <c r="G551">
        <v>200</v>
      </c>
      <c r="H551" s="1">
        <v>43233</v>
      </c>
      <c r="I551" s="1">
        <v>43235</v>
      </c>
      <c r="J551">
        <v>2</v>
      </c>
    </row>
    <row r="552" spans="1:10" x14ac:dyDescent="0.25">
      <c r="A552">
        <v>971868</v>
      </c>
      <c r="B552">
        <v>325698</v>
      </c>
      <c r="C552" t="s">
        <v>15</v>
      </c>
      <c r="D552">
        <v>385</v>
      </c>
      <c r="E552">
        <v>1925</v>
      </c>
      <c r="F552">
        <v>962.5</v>
      </c>
      <c r="G552">
        <v>962.5</v>
      </c>
      <c r="H552" s="1">
        <v>43233</v>
      </c>
      <c r="I552" s="1">
        <v>43235</v>
      </c>
      <c r="J552">
        <v>2</v>
      </c>
    </row>
    <row r="553" spans="1:10" x14ac:dyDescent="0.25">
      <c r="A553">
        <v>955895</v>
      </c>
      <c r="B553">
        <v>985245</v>
      </c>
      <c r="C553" t="s">
        <v>13</v>
      </c>
      <c r="D553">
        <v>680</v>
      </c>
      <c r="E553">
        <v>3400</v>
      </c>
      <c r="F553">
        <v>1700</v>
      </c>
      <c r="G553">
        <v>1700</v>
      </c>
      <c r="H553" s="1">
        <v>43231</v>
      </c>
      <c r="I553" s="1">
        <v>43235</v>
      </c>
      <c r="J553">
        <v>4</v>
      </c>
    </row>
    <row r="554" spans="1:10" x14ac:dyDescent="0.25">
      <c r="A554">
        <v>224916</v>
      </c>
      <c r="B554">
        <v>785432</v>
      </c>
      <c r="C554" t="s">
        <v>14</v>
      </c>
      <c r="D554">
        <v>632</v>
      </c>
      <c r="E554">
        <v>3160</v>
      </c>
      <c r="F554">
        <v>1580</v>
      </c>
      <c r="G554">
        <v>1580</v>
      </c>
      <c r="H554" s="1">
        <v>43230</v>
      </c>
      <c r="I554" s="1">
        <v>43235</v>
      </c>
      <c r="J554">
        <v>5</v>
      </c>
    </row>
    <row r="555" spans="1:10" x14ac:dyDescent="0.25">
      <c r="A555">
        <v>888040</v>
      </c>
      <c r="B555">
        <v>985245</v>
      </c>
      <c r="C555" t="s">
        <v>13</v>
      </c>
      <c r="D555">
        <v>447</v>
      </c>
      <c r="E555">
        <v>2235</v>
      </c>
      <c r="F555">
        <v>1117.5</v>
      </c>
      <c r="G555">
        <v>1117.5</v>
      </c>
      <c r="H555" s="1">
        <v>43231</v>
      </c>
      <c r="I555" s="1">
        <v>43234</v>
      </c>
      <c r="J555">
        <v>3</v>
      </c>
    </row>
    <row r="556" spans="1:10" x14ac:dyDescent="0.25">
      <c r="A556">
        <v>297462</v>
      </c>
      <c r="B556">
        <v>985245</v>
      </c>
      <c r="C556" t="s">
        <v>13</v>
      </c>
      <c r="D556">
        <v>669</v>
      </c>
      <c r="E556">
        <v>3345</v>
      </c>
      <c r="F556">
        <v>1672.5</v>
      </c>
      <c r="G556">
        <v>1672.5</v>
      </c>
      <c r="H556" s="1">
        <v>43230</v>
      </c>
      <c r="I556" s="1">
        <v>43234</v>
      </c>
      <c r="J556">
        <v>4</v>
      </c>
    </row>
    <row r="557" spans="1:10" x14ac:dyDescent="0.25">
      <c r="A557">
        <v>336633</v>
      </c>
      <c r="B557">
        <v>785432</v>
      </c>
      <c r="C557" t="s">
        <v>14</v>
      </c>
      <c r="D557">
        <v>945</v>
      </c>
      <c r="E557">
        <v>4725</v>
      </c>
      <c r="F557">
        <v>2362.5</v>
      </c>
      <c r="G557">
        <v>2362.5</v>
      </c>
      <c r="H557" s="1">
        <v>43229</v>
      </c>
      <c r="I557" s="1">
        <v>43234</v>
      </c>
      <c r="J557">
        <v>5</v>
      </c>
    </row>
    <row r="558" spans="1:10" x14ac:dyDescent="0.25">
      <c r="A558">
        <v>443768</v>
      </c>
      <c r="B558">
        <v>152689</v>
      </c>
      <c r="C558" t="s">
        <v>11</v>
      </c>
      <c r="D558">
        <v>234</v>
      </c>
      <c r="E558">
        <v>1170</v>
      </c>
      <c r="F558">
        <v>585</v>
      </c>
      <c r="G558">
        <v>585</v>
      </c>
      <c r="H558" s="1">
        <v>43229</v>
      </c>
      <c r="I558" s="1">
        <v>43234</v>
      </c>
      <c r="J558">
        <v>5</v>
      </c>
    </row>
    <row r="559" spans="1:10" x14ac:dyDescent="0.25">
      <c r="A559">
        <v>921937</v>
      </c>
      <c r="B559">
        <v>785432</v>
      </c>
      <c r="C559" t="s">
        <v>14</v>
      </c>
      <c r="D559">
        <v>719</v>
      </c>
      <c r="E559">
        <v>3595</v>
      </c>
      <c r="F559">
        <v>1797.5</v>
      </c>
      <c r="G559">
        <v>1797.5</v>
      </c>
      <c r="H559" s="1">
        <v>43229</v>
      </c>
      <c r="I559" s="1">
        <v>43233</v>
      </c>
      <c r="J559">
        <v>4</v>
      </c>
    </row>
    <row r="560" spans="1:10" x14ac:dyDescent="0.25">
      <c r="A560">
        <v>681031</v>
      </c>
      <c r="B560">
        <v>152689</v>
      </c>
      <c r="C560" t="s">
        <v>11</v>
      </c>
      <c r="D560">
        <v>68</v>
      </c>
      <c r="E560">
        <v>340</v>
      </c>
      <c r="F560">
        <v>170</v>
      </c>
      <c r="G560">
        <v>170</v>
      </c>
      <c r="H560" s="1">
        <v>43228</v>
      </c>
      <c r="I560" s="1">
        <v>43233</v>
      </c>
      <c r="J560">
        <v>5</v>
      </c>
    </row>
    <row r="561" spans="1:10" x14ac:dyDescent="0.25">
      <c r="A561">
        <v>488952</v>
      </c>
      <c r="B561">
        <v>325698</v>
      </c>
      <c r="C561" t="s">
        <v>15</v>
      </c>
      <c r="D561">
        <v>710</v>
      </c>
      <c r="E561">
        <v>3550</v>
      </c>
      <c r="F561">
        <v>1775</v>
      </c>
      <c r="G561">
        <v>1775</v>
      </c>
      <c r="H561" s="1">
        <v>43230</v>
      </c>
      <c r="I561" s="1">
        <v>43232</v>
      </c>
      <c r="J561">
        <v>2</v>
      </c>
    </row>
    <row r="562" spans="1:10" x14ac:dyDescent="0.25">
      <c r="A562">
        <v>140130</v>
      </c>
      <c r="B562">
        <v>985245</v>
      </c>
      <c r="C562" t="s">
        <v>13</v>
      </c>
      <c r="D562">
        <v>650</v>
      </c>
      <c r="E562">
        <v>3250</v>
      </c>
      <c r="F562">
        <v>1625</v>
      </c>
      <c r="G562">
        <v>1625</v>
      </c>
      <c r="H562" s="1">
        <v>43228</v>
      </c>
      <c r="I562" s="1">
        <v>43232</v>
      </c>
      <c r="J562">
        <v>4</v>
      </c>
    </row>
    <row r="563" spans="1:10" x14ac:dyDescent="0.25">
      <c r="A563">
        <v>594051</v>
      </c>
      <c r="B563">
        <v>152689</v>
      </c>
      <c r="C563" t="s">
        <v>11</v>
      </c>
      <c r="D563">
        <v>617</v>
      </c>
      <c r="E563">
        <v>3085</v>
      </c>
      <c r="F563">
        <v>1542.5</v>
      </c>
      <c r="G563">
        <v>1542.5</v>
      </c>
      <c r="H563" s="1">
        <v>43227</v>
      </c>
      <c r="I563" s="1">
        <v>43232</v>
      </c>
      <c r="J563">
        <v>5</v>
      </c>
    </row>
    <row r="564" spans="1:10" x14ac:dyDescent="0.25">
      <c r="A564">
        <v>398832</v>
      </c>
      <c r="B564">
        <v>325698</v>
      </c>
      <c r="C564" t="s">
        <v>15</v>
      </c>
      <c r="D564">
        <v>677</v>
      </c>
      <c r="E564">
        <v>3385</v>
      </c>
      <c r="F564">
        <v>1692.5</v>
      </c>
      <c r="G564">
        <v>1692.5</v>
      </c>
      <c r="H564" s="1">
        <v>43229</v>
      </c>
      <c r="I564" s="1">
        <v>43231</v>
      </c>
      <c r="J564">
        <v>2</v>
      </c>
    </row>
    <row r="565" spans="1:10" x14ac:dyDescent="0.25">
      <c r="A565">
        <v>718068</v>
      </c>
      <c r="B565">
        <v>985245</v>
      </c>
      <c r="C565" t="s">
        <v>13</v>
      </c>
      <c r="D565">
        <v>471</v>
      </c>
      <c r="E565">
        <v>2355</v>
      </c>
      <c r="F565">
        <v>1177.5</v>
      </c>
      <c r="G565">
        <v>1177.5</v>
      </c>
      <c r="H565" s="1">
        <v>43228</v>
      </c>
      <c r="I565" s="1">
        <v>43231</v>
      </c>
      <c r="J565">
        <v>3</v>
      </c>
    </row>
    <row r="566" spans="1:10" x14ac:dyDescent="0.25">
      <c r="A566">
        <v>948923</v>
      </c>
      <c r="B566">
        <v>985245</v>
      </c>
      <c r="C566" t="s">
        <v>13</v>
      </c>
      <c r="D566">
        <v>136</v>
      </c>
      <c r="E566">
        <v>680</v>
      </c>
      <c r="F566">
        <v>340</v>
      </c>
      <c r="G566">
        <v>340</v>
      </c>
      <c r="H566" s="1">
        <v>43227</v>
      </c>
      <c r="I566" s="1">
        <v>43231</v>
      </c>
      <c r="J566">
        <v>4</v>
      </c>
    </row>
    <row r="567" spans="1:10" x14ac:dyDescent="0.25">
      <c r="A567">
        <v>128308</v>
      </c>
      <c r="B567">
        <v>785432</v>
      </c>
      <c r="C567" t="s">
        <v>14</v>
      </c>
      <c r="D567">
        <v>987</v>
      </c>
      <c r="E567">
        <v>4935</v>
      </c>
      <c r="F567">
        <v>2467.5</v>
      </c>
      <c r="G567">
        <v>2467.5</v>
      </c>
      <c r="H567" s="1">
        <v>43226</v>
      </c>
      <c r="I567" s="1">
        <v>43231</v>
      </c>
      <c r="J567">
        <v>5</v>
      </c>
    </row>
    <row r="568" spans="1:10" x14ac:dyDescent="0.25">
      <c r="A568">
        <v>462668</v>
      </c>
      <c r="B568">
        <v>152689</v>
      </c>
      <c r="C568" t="s">
        <v>11</v>
      </c>
      <c r="D568">
        <v>231</v>
      </c>
      <c r="E568">
        <v>1155</v>
      </c>
      <c r="F568">
        <v>577.5</v>
      </c>
      <c r="G568">
        <v>577.5</v>
      </c>
      <c r="H568" s="1">
        <v>43226</v>
      </c>
      <c r="I568" s="1">
        <v>43231</v>
      </c>
      <c r="J568">
        <v>5</v>
      </c>
    </row>
    <row r="569" spans="1:10" x14ac:dyDescent="0.25">
      <c r="A569">
        <v>962536</v>
      </c>
      <c r="B569">
        <v>325698</v>
      </c>
      <c r="C569" t="s">
        <v>15</v>
      </c>
      <c r="D569">
        <v>792</v>
      </c>
      <c r="E569">
        <v>3960</v>
      </c>
      <c r="F569">
        <v>1980</v>
      </c>
      <c r="G569">
        <v>1980</v>
      </c>
      <c r="H569" s="1">
        <v>43228</v>
      </c>
      <c r="I569" s="1">
        <v>43230</v>
      </c>
      <c r="J569">
        <v>2</v>
      </c>
    </row>
    <row r="570" spans="1:10" x14ac:dyDescent="0.25">
      <c r="A570">
        <v>468984</v>
      </c>
      <c r="B570">
        <v>325698</v>
      </c>
      <c r="C570" t="s">
        <v>15</v>
      </c>
      <c r="D570">
        <v>798</v>
      </c>
      <c r="E570">
        <v>3990</v>
      </c>
      <c r="F570">
        <v>1995</v>
      </c>
      <c r="G570">
        <v>1995</v>
      </c>
      <c r="H570" s="1">
        <v>43228</v>
      </c>
      <c r="I570" s="1">
        <v>43230</v>
      </c>
      <c r="J570">
        <v>2</v>
      </c>
    </row>
    <row r="571" spans="1:10" x14ac:dyDescent="0.25">
      <c r="A571">
        <v>655009</v>
      </c>
      <c r="B571">
        <v>325698</v>
      </c>
      <c r="C571" t="s">
        <v>15</v>
      </c>
      <c r="D571">
        <v>142</v>
      </c>
      <c r="E571">
        <v>710</v>
      </c>
      <c r="F571">
        <v>355</v>
      </c>
      <c r="G571">
        <v>355</v>
      </c>
      <c r="H571" s="1">
        <v>43228</v>
      </c>
      <c r="I571" s="1">
        <v>43230</v>
      </c>
      <c r="J571">
        <v>2</v>
      </c>
    </row>
    <row r="572" spans="1:10" x14ac:dyDescent="0.25">
      <c r="A572">
        <v>305880</v>
      </c>
      <c r="B572">
        <v>152689</v>
      </c>
      <c r="C572" t="s">
        <v>11</v>
      </c>
      <c r="D572">
        <v>173</v>
      </c>
      <c r="E572">
        <v>865</v>
      </c>
      <c r="F572">
        <v>432.5</v>
      </c>
      <c r="G572">
        <v>432.5</v>
      </c>
      <c r="H572" s="1">
        <v>43225</v>
      </c>
      <c r="I572" s="1">
        <v>43230</v>
      </c>
      <c r="J572">
        <v>5</v>
      </c>
    </row>
    <row r="573" spans="1:10" x14ac:dyDescent="0.25">
      <c r="A573">
        <v>138135</v>
      </c>
      <c r="B573">
        <v>985245</v>
      </c>
      <c r="C573" t="s">
        <v>13</v>
      </c>
      <c r="D573">
        <v>263</v>
      </c>
      <c r="E573">
        <v>1315</v>
      </c>
      <c r="F573">
        <v>657.5</v>
      </c>
      <c r="G573">
        <v>657.5</v>
      </c>
      <c r="H573" s="1">
        <v>43225</v>
      </c>
      <c r="I573" s="1">
        <v>43229</v>
      </c>
      <c r="J573">
        <v>4</v>
      </c>
    </row>
    <row r="574" spans="1:10" x14ac:dyDescent="0.25">
      <c r="A574">
        <v>677647</v>
      </c>
      <c r="B574">
        <v>785432</v>
      </c>
      <c r="C574" t="s">
        <v>14</v>
      </c>
      <c r="D574">
        <v>373</v>
      </c>
      <c r="E574">
        <v>1865</v>
      </c>
      <c r="F574">
        <v>932.5</v>
      </c>
      <c r="G574">
        <v>932.5</v>
      </c>
      <c r="H574" s="1">
        <v>43224</v>
      </c>
      <c r="I574" s="1">
        <v>43229</v>
      </c>
      <c r="J574">
        <v>5</v>
      </c>
    </row>
    <row r="575" spans="1:10" x14ac:dyDescent="0.25">
      <c r="A575">
        <v>398045</v>
      </c>
      <c r="B575">
        <v>785432</v>
      </c>
      <c r="C575" t="s">
        <v>14</v>
      </c>
      <c r="D575">
        <v>243</v>
      </c>
      <c r="E575">
        <v>1215</v>
      </c>
      <c r="F575">
        <v>607.5</v>
      </c>
      <c r="G575">
        <v>607.5</v>
      </c>
      <c r="H575" s="1">
        <v>43224</v>
      </c>
      <c r="I575" s="1">
        <v>43229</v>
      </c>
      <c r="J575">
        <v>5</v>
      </c>
    </row>
    <row r="576" spans="1:10" x14ac:dyDescent="0.25">
      <c r="A576">
        <v>729639</v>
      </c>
      <c r="B576">
        <v>152689</v>
      </c>
      <c r="C576" t="s">
        <v>11</v>
      </c>
      <c r="D576">
        <v>88</v>
      </c>
      <c r="E576">
        <v>440</v>
      </c>
      <c r="F576">
        <v>220</v>
      </c>
      <c r="G576">
        <v>220</v>
      </c>
      <c r="H576" s="1">
        <v>43224</v>
      </c>
      <c r="I576" s="1">
        <v>43229</v>
      </c>
      <c r="J576">
        <v>5</v>
      </c>
    </row>
    <row r="577" spans="1:10" x14ac:dyDescent="0.25">
      <c r="A577">
        <v>940273</v>
      </c>
      <c r="B577">
        <v>325698</v>
      </c>
      <c r="C577" t="s">
        <v>15</v>
      </c>
      <c r="D577">
        <v>599</v>
      </c>
      <c r="E577">
        <v>2995</v>
      </c>
      <c r="F577">
        <v>1497.5</v>
      </c>
      <c r="G577">
        <v>1497.5</v>
      </c>
      <c r="H577" s="1">
        <v>43226</v>
      </c>
      <c r="I577" s="1">
        <v>43228</v>
      </c>
      <c r="J577">
        <v>2</v>
      </c>
    </row>
    <row r="578" spans="1:10" x14ac:dyDescent="0.25">
      <c r="A578">
        <v>872464</v>
      </c>
      <c r="B578">
        <v>325698</v>
      </c>
      <c r="C578" t="s">
        <v>15</v>
      </c>
      <c r="D578">
        <v>914</v>
      </c>
      <c r="E578">
        <v>4570</v>
      </c>
      <c r="F578">
        <v>2285</v>
      </c>
      <c r="G578">
        <v>2285</v>
      </c>
      <c r="H578" s="1">
        <v>43226</v>
      </c>
      <c r="I578" s="1">
        <v>43228</v>
      </c>
      <c r="J578">
        <v>2</v>
      </c>
    </row>
    <row r="579" spans="1:10" x14ac:dyDescent="0.25">
      <c r="A579">
        <v>992813</v>
      </c>
      <c r="B579">
        <v>325698</v>
      </c>
      <c r="C579" t="s">
        <v>15</v>
      </c>
      <c r="D579">
        <v>323</v>
      </c>
      <c r="E579">
        <v>1615</v>
      </c>
      <c r="F579">
        <v>807.5</v>
      </c>
      <c r="G579">
        <v>807.5</v>
      </c>
      <c r="H579" s="1">
        <v>43225</v>
      </c>
      <c r="I579" s="1">
        <v>43227</v>
      </c>
      <c r="J579">
        <v>2</v>
      </c>
    </row>
    <row r="580" spans="1:10" x14ac:dyDescent="0.25">
      <c r="A580">
        <v>868929</v>
      </c>
      <c r="B580">
        <v>325698</v>
      </c>
      <c r="C580" t="s">
        <v>15</v>
      </c>
      <c r="D580">
        <v>497</v>
      </c>
      <c r="E580">
        <v>2485</v>
      </c>
      <c r="F580">
        <v>1242.5</v>
      </c>
      <c r="G580">
        <v>1242.5</v>
      </c>
      <c r="H580" s="1">
        <v>43224</v>
      </c>
      <c r="I580" s="1">
        <v>43226</v>
      </c>
      <c r="J580">
        <v>2</v>
      </c>
    </row>
    <row r="581" spans="1:10" x14ac:dyDescent="0.25">
      <c r="A581">
        <v>592731</v>
      </c>
      <c r="B581">
        <v>325698</v>
      </c>
      <c r="C581" t="s">
        <v>15</v>
      </c>
      <c r="D581">
        <v>76</v>
      </c>
      <c r="E581">
        <v>380</v>
      </c>
      <c r="F581">
        <v>190</v>
      </c>
      <c r="G581">
        <v>190</v>
      </c>
      <c r="H581" s="1">
        <v>43224</v>
      </c>
      <c r="I581" s="1">
        <v>43226</v>
      </c>
      <c r="J581">
        <v>2</v>
      </c>
    </row>
    <row r="582" spans="1:10" x14ac:dyDescent="0.25">
      <c r="A582">
        <v>643687</v>
      </c>
      <c r="B582">
        <v>985245</v>
      </c>
      <c r="C582" t="s">
        <v>13</v>
      </c>
      <c r="D582">
        <v>315</v>
      </c>
      <c r="E582">
        <v>1575</v>
      </c>
      <c r="F582">
        <v>787.5</v>
      </c>
      <c r="G582">
        <v>787.5</v>
      </c>
      <c r="H582" s="1">
        <v>43222</v>
      </c>
      <c r="I582" s="1">
        <v>43226</v>
      </c>
      <c r="J582">
        <v>4</v>
      </c>
    </row>
    <row r="583" spans="1:10" x14ac:dyDescent="0.25">
      <c r="A583">
        <v>626052</v>
      </c>
      <c r="B583">
        <v>785432</v>
      </c>
      <c r="C583" t="s">
        <v>14</v>
      </c>
      <c r="D583">
        <v>512</v>
      </c>
      <c r="E583">
        <v>2560</v>
      </c>
      <c r="F583">
        <v>1280</v>
      </c>
      <c r="G583">
        <v>1280</v>
      </c>
      <c r="H583" s="1">
        <v>43221</v>
      </c>
      <c r="I583" s="1">
        <v>43226</v>
      </c>
      <c r="J583">
        <v>5</v>
      </c>
    </row>
    <row r="584" spans="1:10" x14ac:dyDescent="0.25">
      <c r="A584">
        <v>876537</v>
      </c>
      <c r="B584">
        <v>325698</v>
      </c>
      <c r="C584" t="s">
        <v>15</v>
      </c>
      <c r="D584">
        <v>248</v>
      </c>
      <c r="E584">
        <v>1240</v>
      </c>
      <c r="F584">
        <v>620</v>
      </c>
      <c r="G584">
        <v>620</v>
      </c>
      <c r="H584" s="1">
        <v>43223</v>
      </c>
      <c r="I584" s="1">
        <v>43225</v>
      </c>
      <c r="J584">
        <v>2</v>
      </c>
    </row>
    <row r="585" spans="1:10" x14ac:dyDescent="0.25">
      <c r="A585">
        <v>737364</v>
      </c>
      <c r="B585">
        <v>985245</v>
      </c>
      <c r="C585" t="s">
        <v>13</v>
      </c>
      <c r="D585">
        <v>452</v>
      </c>
      <c r="E585">
        <v>2260</v>
      </c>
      <c r="F585">
        <v>1130</v>
      </c>
      <c r="G585">
        <v>1130</v>
      </c>
      <c r="H585" s="1">
        <v>43221</v>
      </c>
      <c r="I585" s="1">
        <v>43225</v>
      </c>
      <c r="J585">
        <v>4</v>
      </c>
    </row>
    <row r="586" spans="1:10" x14ac:dyDescent="0.25">
      <c r="A586">
        <v>768451</v>
      </c>
      <c r="B586">
        <v>985245</v>
      </c>
      <c r="C586" t="s">
        <v>13</v>
      </c>
      <c r="D586">
        <v>551</v>
      </c>
      <c r="E586">
        <v>2755</v>
      </c>
      <c r="F586">
        <v>1377.5</v>
      </c>
      <c r="G586">
        <v>1377.5</v>
      </c>
      <c r="H586" s="1">
        <v>43221</v>
      </c>
      <c r="I586" s="1">
        <v>43224</v>
      </c>
      <c r="J586">
        <v>3</v>
      </c>
    </row>
    <row r="587" spans="1:10" x14ac:dyDescent="0.25">
      <c r="A587">
        <v>761784</v>
      </c>
      <c r="B587">
        <v>785432</v>
      </c>
      <c r="C587" t="s">
        <v>14</v>
      </c>
      <c r="D587">
        <v>766</v>
      </c>
      <c r="E587">
        <v>3830</v>
      </c>
      <c r="F587">
        <v>1915</v>
      </c>
      <c r="G587">
        <v>1915</v>
      </c>
      <c r="H587" s="1">
        <v>43220</v>
      </c>
      <c r="I587" s="1">
        <v>43224</v>
      </c>
      <c r="J587">
        <v>4</v>
      </c>
    </row>
    <row r="588" spans="1:10" x14ac:dyDescent="0.25">
      <c r="A588">
        <v>647302</v>
      </c>
      <c r="B588">
        <v>785432</v>
      </c>
      <c r="C588" t="s">
        <v>14</v>
      </c>
      <c r="D588">
        <v>207</v>
      </c>
      <c r="E588">
        <v>1035</v>
      </c>
      <c r="F588">
        <v>517.5</v>
      </c>
      <c r="G588">
        <v>517.5</v>
      </c>
      <c r="H588" s="1">
        <v>43219</v>
      </c>
      <c r="I588" s="1">
        <v>43224</v>
      </c>
      <c r="J588">
        <v>5</v>
      </c>
    </row>
    <row r="589" spans="1:10" x14ac:dyDescent="0.25">
      <c r="A589">
        <v>615971</v>
      </c>
      <c r="B589">
        <v>785432</v>
      </c>
      <c r="C589" t="s">
        <v>14</v>
      </c>
      <c r="D589">
        <v>597</v>
      </c>
      <c r="E589">
        <v>2985</v>
      </c>
      <c r="F589">
        <v>1492.5</v>
      </c>
      <c r="G589">
        <v>1492.5</v>
      </c>
      <c r="H589" s="1">
        <v>43219</v>
      </c>
      <c r="I589" s="1">
        <v>43223</v>
      </c>
      <c r="J589">
        <v>4</v>
      </c>
    </row>
    <row r="590" spans="1:10" x14ac:dyDescent="0.25">
      <c r="A590">
        <v>769115</v>
      </c>
      <c r="B590">
        <v>985245</v>
      </c>
      <c r="C590" t="s">
        <v>13</v>
      </c>
      <c r="D590">
        <v>67</v>
      </c>
      <c r="E590">
        <v>335</v>
      </c>
      <c r="F590">
        <v>167.5</v>
      </c>
      <c r="G590">
        <v>167.5</v>
      </c>
      <c r="H590" s="1">
        <v>43218</v>
      </c>
      <c r="I590" s="1">
        <v>43222</v>
      </c>
      <c r="J590">
        <v>4</v>
      </c>
    </row>
    <row r="591" spans="1:10" x14ac:dyDescent="0.25">
      <c r="A591">
        <v>633660</v>
      </c>
      <c r="B591">
        <v>152689</v>
      </c>
      <c r="C591" t="s">
        <v>11</v>
      </c>
      <c r="D591">
        <v>647</v>
      </c>
      <c r="E591">
        <v>3235</v>
      </c>
      <c r="F591">
        <v>1617.5</v>
      </c>
      <c r="G591">
        <v>1617.5</v>
      </c>
      <c r="H591" s="1">
        <v>43217</v>
      </c>
      <c r="I591" s="1">
        <v>43222</v>
      </c>
      <c r="J591">
        <v>5</v>
      </c>
    </row>
    <row r="592" spans="1:10" x14ac:dyDescent="0.25">
      <c r="A592">
        <v>126862</v>
      </c>
      <c r="B592">
        <v>325698</v>
      </c>
      <c r="C592" t="s">
        <v>15</v>
      </c>
      <c r="D592">
        <v>263</v>
      </c>
      <c r="E592">
        <v>1315</v>
      </c>
      <c r="F592">
        <v>657.5</v>
      </c>
      <c r="G592">
        <v>657.5</v>
      </c>
      <c r="H592" s="1">
        <v>43219</v>
      </c>
      <c r="I592" s="1">
        <v>43221</v>
      </c>
      <c r="J592">
        <v>2</v>
      </c>
    </row>
    <row r="593" spans="1:10" x14ac:dyDescent="0.25">
      <c r="A593">
        <v>881038</v>
      </c>
      <c r="B593">
        <v>325698</v>
      </c>
      <c r="C593" t="s">
        <v>15</v>
      </c>
      <c r="D593">
        <v>144</v>
      </c>
      <c r="E593">
        <v>720</v>
      </c>
      <c r="F593">
        <v>360</v>
      </c>
      <c r="G593">
        <v>360</v>
      </c>
      <c r="H593" s="1">
        <v>43218</v>
      </c>
      <c r="I593" s="1">
        <v>43221</v>
      </c>
      <c r="J593">
        <v>3</v>
      </c>
    </row>
    <row r="594" spans="1:10" x14ac:dyDescent="0.25">
      <c r="A594">
        <v>244489</v>
      </c>
      <c r="B594">
        <v>785432</v>
      </c>
      <c r="C594" t="s">
        <v>14</v>
      </c>
      <c r="D594">
        <v>545</v>
      </c>
      <c r="E594">
        <v>2725</v>
      </c>
      <c r="F594">
        <v>1362.5</v>
      </c>
      <c r="G594">
        <v>1362.5</v>
      </c>
      <c r="H594" s="1">
        <v>43216</v>
      </c>
      <c r="I594" s="1">
        <v>43221</v>
      </c>
      <c r="J594">
        <v>5</v>
      </c>
    </row>
    <row r="595" spans="1:10" x14ac:dyDescent="0.25">
      <c r="A595">
        <v>129240</v>
      </c>
      <c r="B595">
        <v>152689</v>
      </c>
      <c r="C595" t="s">
        <v>11</v>
      </c>
      <c r="D595">
        <v>998</v>
      </c>
      <c r="E595">
        <v>4990</v>
      </c>
      <c r="F595">
        <v>2495</v>
      </c>
      <c r="G595">
        <v>2495</v>
      </c>
      <c r="H595" s="1">
        <v>43216</v>
      </c>
      <c r="I595" s="1">
        <v>43221</v>
      </c>
      <c r="J595">
        <v>5</v>
      </c>
    </row>
    <row r="596" spans="1:10" x14ac:dyDescent="0.25">
      <c r="A596">
        <v>167996</v>
      </c>
      <c r="B596">
        <v>325698</v>
      </c>
      <c r="C596" t="s">
        <v>15</v>
      </c>
      <c r="D596">
        <v>871</v>
      </c>
      <c r="E596">
        <v>4355</v>
      </c>
      <c r="F596">
        <v>2177.5</v>
      </c>
      <c r="G596">
        <v>2177.5</v>
      </c>
      <c r="H596" s="1">
        <v>43218</v>
      </c>
      <c r="I596" s="1">
        <v>43220</v>
      </c>
      <c r="J596">
        <v>2</v>
      </c>
    </row>
    <row r="597" spans="1:10" x14ac:dyDescent="0.25">
      <c r="A597">
        <v>272634</v>
      </c>
      <c r="B597">
        <v>152689</v>
      </c>
      <c r="C597" t="s">
        <v>11</v>
      </c>
      <c r="D597">
        <v>186</v>
      </c>
      <c r="E597">
        <v>930</v>
      </c>
      <c r="F597">
        <v>465</v>
      </c>
      <c r="G597">
        <v>465</v>
      </c>
      <c r="H597" s="1">
        <v>43215</v>
      </c>
      <c r="I597" s="1">
        <v>43220</v>
      </c>
      <c r="J597">
        <v>5</v>
      </c>
    </row>
    <row r="598" spans="1:10" x14ac:dyDescent="0.25">
      <c r="A598">
        <v>186779</v>
      </c>
      <c r="B598">
        <v>325698</v>
      </c>
      <c r="C598" t="s">
        <v>15</v>
      </c>
      <c r="D598">
        <v>449</v>
      </c>
      <c r="E598">
        <v>2245</v>
      </c>
      <c r="F598">
        <v>1122.5</v>
      </c>
      <c r="G598">
        <v>1122.5</v>
      </c>
      <c r="H598" s="1">
        <v>43217</v>
      </c>
      <c r="I598" s="1">
        <v>43219</v>
      </c>
      <c r="J598">
        <v>2</v>
      </c>
    </row>
    <row r="599" spans="1:10" x14ac:dyDescent="0.25">
      <c r="A599">
        <v>284664</v>
      </c>
      <c r="B599">
        <v>325698</v>
      </c>
      <c r="C599" t="s">
        <v>15</v>
      </c>
      <c r="D599">
        <v>799</v>
      </c>
      <c r="E599">
        <v>3995</v>
      </c>
      <c r="F599">
        <v>1997.5</v>
      </c>
      <c r="G599">
        <v>1997.5</v>
      </c>
      <c r="H599" s="1">
        <v>43216</v>
      </c>
      <c r="I599" s="1">
        <v>43219</v>
      </c>
      <c r="J599">
        <v>3</v>
      </c>
    </row>
    <row r="600" spans="1:10" x14ac:dyDescent="0.25">
      <c r="A600">
        <v>135650</v>
      </c>
      <c r="B600">
        <v>985245</v>
      </c>
      <c r="C600" t="s">
        <v>13</v>
      </c>
      <c r="D600">
        <v>346</v>
      </c>
      <c r="E600">
        <v>1730</v>
      </c>
      <c r="F600">
        <v>865</v>
      </c>
      <c r="G600">
        <v>865</v>
      </c>
      <c r="H600" s="1">
        <v>43214</v>
      </c>
      <c r="I600" s="1">
        <v>43218</v>
      </c>
      <c r="J600">
        <v>4</v>
      </c>
    </row>
    <row r="601" spans="1:10" x14ac:dyDescent="0.25">
      <c r="A601">
        <v>539889</v>
      </c>
      <c r="B601">
        <v>785432</v>
      </c>
      <c r="C601" t="s">
        <v>14</v>
      </c>
      <c r="D601">
        <v>134</v>
      </c>
      <c r="E601">
        <v>670</v>
      </c>
      <c r="F601">
        <v>335</v>
      </c>
      <c r="G601">
        <v>335</v>
      </c>
      <c r="H601" s="1">
        <v>43213</v>
      </c>
      <c r="I601" s="1">
        <v>43218</v>
      </c>
      <c r="J601">
        <v>5</v>
      </c>
    </row>
    <row r="602" spans="1:10" x14ac:dyDescent="0.25">
      <c r="A602">
        <v>480475</v>
      </c>
      <c r="B602">
        <v>785432</v>
      </c>
      <c r="C602" t="s">
        <v>14</v>
      </c>
      <c r="D602">
        <v>357</v>
      </c>
      <c r="E602">
        <v>1785</v>
      </c>
      <c r="F602">
        <v>892.5</v>
      </c>
      <c r="G602">
        <v>892.5</v>
      </c>
      <c r="H602" s="1">
        <v>43212</v>
      </c>
      <c r="I602" s="1">
        <v>43217</v>
      </c>
      <c r="J602">
        <v>5</v>
      </c>
    </row>
    <row r="603" spans="1:10" x14ac:dyDescent="0.25">
      <c r="A603">
        <v>891714</v>
      </c>
      <c r="B603">
        <v>325698</v>
      </c>
      <c r="C603" t="s">
        <v>15</v>
      </c>
      <c r="D603">
        <v>159</v>
      </c>
      <c r="E603">
        <v>795</v>
      </c>
      <c r="F603">
        <v>397.5</v>
      </c>
      <c r="G603">
        <v>397.5</v>
      </c>
      <c r="H603" s="1">
        <v>43214</v>
      </c>
      <c r="I603" s="1">
        <v>43216</v>
      </c>
      <c r="J603">
        <v>2</v>
      </c>
    </row>
    <row r="604" spans="1:10" x14ac:dyDescent="0.25">
      <c r="A604">
        <v>132503</v>
      </c>
      <c r="B604">
        <v>985245</v>
      </c>
      <c r="C604" t="s">
        <v>13</v>
      </c>
      <c r="D604">
        <v>777</v>
      </c>
      <c r="E604">
        <v>3885</v>
      </c>
      <c r="F604">
        <v>1942.5</v>
      </c>
      <c r="G604">
        <v>1942.5</v>
      </c>
      <c r="H604" s="1">
        <v>43212</v>
      </c>
      <c r="I604" s="1">
        <v>43216</v>
      </c>
      <c r="J604">
        <v>4</v>
      </c>
    </row>
    <row r="605" spans="1:10" x14ac:dyDescent="0.25">
      <c r="A605">
        <v>220624</v>
      </c>
      <c r="B605">
        <v>152689</v>
      </c>
      <c r="C605" t="s">
        <v>11</v>
      </c>
      <c r="D605">
        <v>572</v>
      </c>
      <c r="E605">
        <v>2860</v>
      </c>
      <c r="F605">
        <v>1430</v>
      </c>
      <c r="G605">
        <v>1430</v>
      </c>
      <c r="H605" s="1">
        <v>43211</v>
      </c>
      <c r="I605" s="1">
        <v>43216</v>
      </c>
      <c r="J605">
        <v>5</v>
      </c>
    </row>
    <row r="606" spans="1:10" x14ac:dyDescent="0.25">
      <c r="A606">
        <v>678700</v>
      </c>
      <c r="B606">
        <v>325698</v>
      </c>
      <c r="C606" t="s">
        <v>15</v>
      </c>
      <c r="D606">
        <v>290</v>
      </c>
      <c r="E606">
        <v>1450</v>
      </c>
      <c r="F606">
        <v>725</v>
      </c>
      <c r="G606">
        <v>725</v>
      </c>
      <c r="H606" s="1">
        <v>43213</v>
      </c>
      <c r="I606" s="1">
        <v>43215</v>
      </c>
      <c r="J606">
        <v>2</v>
      </c>
    </row>
    <row r="607" spans="1:10" x14ac:dyDescent="0.25">
      <c r="A607">
        <v>397956</v>
      </c>
      <c r="B607">
        <v>325698</v>
      </c>
      <c r="C607" t="s">
        <v>15</v>
      </c>
      <c r="D607">
        <v>819</v>
      </c>
      <c r="E607">
        <v>4095</v>
      </c>
      <c r="F607">
        <v>2047.5</v>
      </c>
      <c r="G607">
        <v>2047.5</v>
      </c>
      <c r="H607" s="1">
        <v>43212</v>
      </c>
      <c r="I607" s="1">
        <v>43214</v>
      </c>
      <c r="J607">
        <v>2</v>
      </c>
    </row>
    <row r="608" spans="1:10" x14ac:dyDescent="0.25">
      <c r="A608">
        <v>704557</v>
      </c>
      <c r="B608">
        <v>325698</v>
      </c>
      <c r="C608" t="s">
        <v>15</v>
      </c>
      <c r="D608">
        <v>338</v>
      </c>
      <c r="E608">
        <v>1690</v>
      </c>
      <c r="F608">
        <v>845</v>
      </c>
      <c r="G608">
        <v>845</v>
      </c>
      <c r="H608" s="1">
        <v>43211</v>
      </c>
      <c r="I608" s="1">
        <v>43213</v>
      </c>
      <c r="J608">
        <v>2</v>
      </c>
    </row>
    <row r="609" spans="1:10" x14ac:dyDescent="0.25">
      <c r="A609">
        <v>298118</v>
      </c>
      <c r="B609">
        <v>985245</v>
      </c>
      <c r="C609" t="s">
        <v>13</v>
      </c>
      <c r="D609">
        <v>482</v>
      </c>
      <c r="E609">
        <v>2410</v>
      </c>
      <c r="F609">
        <v>1205</v>
      </c>
      <c r="G609">
        <v>1205</v>
      </c>
      <c r="H609" s="1">
        <v>43210</v>
      </c>
      <c r="I609" s="1">
        <v>43213</v>
      </c>
      <c r="J609">
        <v>3</v>
      </c>
    </row>
    <row r="610" spans="1:10" x14ac:dyDescent="0.25">
      <c r="A610">
        <v>133438</v>
      </c>
      <c r="B610">
        <v>985245</v>
      </c>
      <c r="C610" t="s">
        <v>13</v>
      </c>
      <c r="D610">
        <v>695</v>
      </c>
      <c r="E610">
        <v>3475</v>
      </c>
      <c r="F610">
        <v>1737.5</v>
      </c>
      <c r="G610">
        <v>1737.5</v>
      </c>
      <c r="H610" s="1">
        <v>43209</v>
      </c>
      <c r="I610" s="1">
        <v>43213</v>
      </c>
      <c r="J610">
        <v>4</v>
      </c>
    </row>
    <row r="611" spans="1:10" x14ac:dyDescent="0.25">
      <c r="A611">
        <v>480778</v>
      </c>
      <c r="B611">
        <v>785432</v>
      </c>
      <c r="C611" t="s">
        <v>14</v>
      </c>
      <c r="D611">
        <v>794</v>
      </c>
      <c r="E611">
        <v>3970</v>
      </c>
      <c r="F611">
        <v>1985</v>
      </c>
      <c r="G611">
        <v>1985</v>
      </c>
      <c r="H611" s="1">
        <v>43209</v>
      </c>
      <c r="I611" s="1">
        <v>43213</v>
      </c>
      <c r="J611">
        <v>4</v>
      </c>
    </row>
    <row r="612" spans="1:10" x14ac:dyDescent="0.25">
      <c r="A612">
        <v>464230</v>
      </c>
      <c r="B612">
        <v>152689</v>
      </c>
      <c r="C612" t="s">
        <v>11</v>
      </c>
      <c r="D612">
        <v>901</v>
      </c>
      <c r="E612">
        <v>4505</v>
      </c>
      <c r="F612">
        <v>2252.5</v>
      </c>
      <c r="G612">
        <v>2252.5</v>
      </c>
      <c r="H612" s="1">
        <v>43207</v>
      </c>
      <c r="I612" s="1">
        <v>43213</v>
      </c>
      <c r="J612">
        <v>6</v>
      </c>
    </row>
    <row r="613" spans="1:10" x14ac:dyDescent="0.25">
      <c r="A613">
        <v>620917</v>
      </c>
      <c r="B613">
        <v>985245</v>
      </c>
      <c r="C613" t="s">
        <v>13</v>
      </c>
      <c r="D613">
        <v>412</v>
      </c>
      <c r="E613">
        <v>2060</v>
      </c>
      <c r="F613">
        <v>1030</v>
      </c>
      <c r="G613">
        <v>1030</v>
      </c>
      <c r="H613" s="1">
        <v>43208</v>
      </c>
      <c r="I613" s="1">
        <v>43212</v>
      </c>
      <c r="J613">
        <v>4</v>
      </c>
    </row>
    <row r="614" spans="1:10" x14ac:dyDescent="0.25">
      <c r="A614">
        <v>729161</v>
      </c>
      <c r="B614">
        <v>325698</v>
      </c>
      <c r="C614" t="s">
        <v>15</v>
      </c>
      <c r="D614">
        <v>286</v>
      </c>
      <c r="E614">
        <v>1430</v>
      </c>
      <c r="F614">
        <v>715</v>
      </c>
      <c r="G614">
        <v>715</v>
      </c>
      <c r="H614" s="1">
        <v>43209</v>
      </c>
      <c r="I614" s="1">
        <v>43211</v>
      </c>
      <c r="J614">
        <v>2</v>
      </c>
    </row>
    <row r="615" spans="1:10" x14ac:dyDescent="0.25">
      <c r="A615">
        <v>329204</v>
      </c>
      <c r="B615">
        <v>325698</v>
      </c>
      <c r="C615" t="s">
        <v>15</v>
      </c>
      <c r="D615">
        <v>797</v>
      </c>
      <c r="E615">
        <v>3985</v>
      </c>
      <c r="F615">
        <v>1992.5</v>
      </c>
      <c r="G615">
        <v>1992.5</v>
      </c>
      <c r="H615" s="1">
        <v>43209</v>
      </c>
      <c r="I615" s="1">
        <v>43211</v>
      </c>
      <c r="J615">
        <v>2</v>
      </c>
    </row>
    <row r="616" spans="1:10" x14ac:dyDescent="0.25">
      <c r="A616">
        <v>278638</v>
      </c>
      <c r="B616">
        <v>985245</v>
      </c>
      <c r="C616" t="s">
        <v>13</v>
      </c>
      <c r="D616">
        <v>895</v>
      </c>
      <c r="E616">
        <v>4475</v>
      </c>
      <c r="F616">
        <v>2237.5</v>
      </c>
      <c r="G616">
        <v>2237.5</v>
      </c>
      <c r="H616" s="1">
        <v>43207</v>
      </c>
      <c r="I616" s="1">
        <v>43211</v>
      </c>
      <c r="J616">
        <v>4</v>
      </c>
    </row>
    <row r="617" spans="1:10" x14ac:dyDescent="0.25">
      <c r="A617">
        <v>973900</v>
      </c>
      <c r="B617">
        <v>985245</v>
      </c>
      <c r="C617" t="s">
        <v>13</v>
      </c>
      <c r="D617">
        <v>411</v>
      </c>
      <c r="E617">
        <v>2055</v>
      </c>
      <c r="F617">
        <v>1027.5</v>
      </c>
      <c r="G617">
        <v>1027.5</v>
      </c>
      <c r="H617" s="1">
        <v>43207</v>
      </c>
      <c r="I617" s="1">
        <v>43211</v>
      </c>
      <c r="J617">
        <v>4</v>
      </c>
    </row>
    <row r="618" spans="1:10" x14ac:dyDescent="0.25">
      <c r="A618">
        <v>147226</v>
      </c>
      <c r="B618">
        <v>785432</v>
      </c>
      <c r="C618" t="s">
        <v>14</v>
      </c>
      <c r="D618">
        <v>611</v>
      </c>
      <c r="E618">
        <v>3055</v>
      </c>
      <c r="F618">
        <v>1527.5</v>
      </c>
      <c r="G618">
        <v>1527.5</v>
      </c>
      <c r="H618" s="1">
        <v>43206</v>
      </c>
      <c r="I618" s="1">
        <v>43211</v>
      </c>
      <c r="J618">
        <v>5</v>
      </c>
    </row>
    <row r="619" spans="1:10" x14ac:dyDescent="0.25">
      <c r="A619">
        <v>225242</v>
      </c>
      <c r="B619">
        <v>452584</v>
      </c>
      <c r="C619" t="s">
        <v>12</v>
      </c>
      <c r="D619">
        <v>576</v>
      </c>
      <c r="E619">
        <v>2880</v>
      </c>
      <c r="F619">
        <v>1440</v>
      </c>
      <c r="G619">
        <v>1440</v>
      </c>
      <c r="H619" s="1">
        <v>43208</v>
      </c>
      <c r="I619" s="1">
        <v>43210</v>
      </c>
      <c r="J619">
        <v>2</v>
      </c>
    </row>
    <row r="620" spans="1:10" x14ac:dyDescent="0.25">
      <c r="A620">
        <v>848805</v>
      </c>
      <c r="B620">
        <v>325698</v>
      </c>
      <c r="C620" t="s">
        <v>15</v>
      </c>
      <c r="D620">
        <v>296</v>
      </c>
      <c r="E620">
        <v>1480</v>
      </c>
      <c r="F620">
        <v>740</v>
      </c>
      <c r="G620">
        <v>740</v>
      </c>
      <c r="H620" s="1">
        <v>43208</v>
      </c>
      <c r="I620" s="1">
        <v>43210</v>
      </c>
      <c r="J620">
        <v>2</v>
      </c>
    </row>
    <row r="621" spans="1:10" x14ac:dyDescent="0.25">
      <c r="A621">
        <v>371817</v>
      </c>
      <c r="B621">
        <v>985245</v>
      </c>
      <c r="C621" t="s">
        <v>13</v>
      </c>
      <c r="D621">
        <v>670</v>
      </c>
      <c r="E621">
        <v>3350</v>
      </c>
      <c r="F621">
        <v>1675</v>
      </c>
      <c r="G621">
        <v>1675</v>
      </c>
      <c r="H621" s="1">
        <v>43206</v>
      </c>
      <c r="I621" s="1">
        <v>43209</v>
      </c>
      <c r="J621">
        <v>3</v>
      </c>
    </row>
    <row r="622" spans="1:10" x14ac:dyDescent="0.25">
      <c r="A622">
        <v>468431</v>
      </c>
      <c r="B622">
        <v>452584</v>
      </c>
      <c r="C622" t="s">
        <v>12</v>
      </c>
      <c r="D622">
        <v>85</v>
      </c>
      <c r="E622">
        <v>425</v>
      </c>
      <c r="F622">
        <v>212.5</v>
      </c>
      <c r="G622">
        <v>212.5</v>
      </c>
      <c r="H622" s="1">
        <v>43206</v>
      </c>
      <c r="I622" s="1">
        <v>43208</v>
      </c>
      <c r="J622">
        <v>2</v>
      </c>
    </row>
    <row r="623" spans="1:10" x14ac:dyDescent="0.25">
      <c r="A623">
        <v>817018</v>
      </c>
      <c r="B623">
        <v>325698</v>
      </c>
      <c r="C623" t="s">
        <v>15</v>
      </c>
      <c r="D623">
        <v>474</v>
      </c>
      <c r="E623">
        <v>2370</v>
      </c>
      <c r="F623">
        <v>1185</v>
      </c>
      <c r="G623">
        <v>1185</v>
      </c>
      <c r="H623" s="1">
        <v>43206</v>
      </c>
      <c r="I623" s="1">
        <v>43208</v>
      </c>
      <c r="J623">
        <v>2</v>
      </c>
    </row>
    <row r="624" spans="1:10" x14ac:dyDescent="0.25">
      <c r="A624">
        <v>566398</v>
      </c>
      <c r="B624">
        <v>325698</v>
      </c>
      <c r="C624" t="s">
        <v>15</v>
      </c>
      <c r="D624">
        <v>273</v>
      </c>
      <c r="E624">
        <v>1365</v>
      </c>
      <c r="F624">
        <v>682.5</v>
      </c>
      <c r="G624">
        <v>682.5</v>
      </c>
      <c r="H624" s="1">
        <v>43206</v>
      </c>
      <c r="I624" s="1">
        <v>43208</v>
      </c>
      <c r="J624">
        <v>2</v>
      </c>
    </row>
    <row r="625" spans="1:10" x14ac:dyDescent="0.25">
      <c r="A625">
        <v>923290</v>
      </c>
      <c r="B625">
        <v>785432</v>
      </c>
      <c r="C625" t="s">
        <v>14</v>
      </c>
      <c r="D625">
        <v>309</v>
      </c>
      <c r="E625">
        <v>1545</v>
      </c>
      <c r="F625">
        <v>772.5</v>
      </c>
      <c r="G625">
        <v>772.5</v>
      </c>
      <c r="H625" s="1">
        <v>43203</v>
      </c>
      <c r="I625" s="1">
        <v>43208</v>
      </c>
      <c r="J625">
        <v>5</v>
      </c>
    </row>
    <row r="626" spans="1:10" x14ac:dyDescent="0.25">
      <c r="A626">
        <v>825839</v>
      </c>
      <c r="B626">
        <v>152689</v>
      </c>
      <c r="C626" t="s">
        <v>11</v>
      </c>
      <c r="D626">
        <v>644</v>
      </c>
      <c r="E626">
        <v>3220</v>
      </c>
      <c r="F626">
        <v>1610</v>
      </c>
      <c r="G626">
        <v>1610</v>
      </c>
      <c r="H626" s="1">
        <v>43202</v>
      </c>
      <c r="I626" s="1">
        <v>43207</v>
      </c>
      <c r="J626">
        <v>5</v>
      </c>
    </row>
    <row r="627" spans="1:10" x14ac:dyDescent="0.25">
      <c r="A627">
        <v>827821</v>
      </c>
      <c r="B627">
        <v>452584</v>
      </c>
      <c r="C627" t="s">
        <v>12</v>
      </c>
      <c r="D627">
        <v>670</v>
      </c>
      <c r="E627">
        <v>3350</v>
      </c>
      <c r="F627">
        <v>1675</v>
      </c>
      <c r="G627">
        <v>1675</v>
      </c>
      <c r="H627" s="1">
        <v>43203</v>
      </c>
      <c r="I627" s="1">
        <v>43205</v>
      </c>
      <c r="J627">
        <v>2</v>
      </c>
    </row>
    <row r="628" spans="1:10" x14ac:dyDescent="0.25">
      <c r="A628">
        <v>140568</v>
      </c>
      <c r="B628">
        <v>985245</v>
      </c>
      <c r="C628" t="s">
        <v>13</v>
      </c>
      <c r="D628">
        <v>768</v>
      </c>
      <c r="E628">
        <v>3840</v>
      </c>
      <c r="F628">
        <v>1920</v>
      </c>
      <c r="G628">
        <v>1920</v>
      </c>
      <c r="H628" s="1">
        <v>43201</v>
      </c>
      <c r="I628" s="1">
        <v>43205</v>
      </c>
      <c r="J628">
        <v>4</v>
      </c>
    </row>
    <row r="629" spans="1:10" x14ac:dyDescent="0.25">
      <c r="A629">
        <v>715757</v>
      </c>
      <c r="B629">
        <v>152689</v>
      </c>
      <c r="C629" t="s">
        <v>11</v>
      </c>
      <c r="D629">
        <v>200</v>
      </c>
      <c r="E629">
        <v>1000</v>
      </c>
      <c r="F629">
        <v>500</v>
      </c>
      <c r="G629">
        <v>500</v>
      </c>
      <c r="H629" s="1">
        <v>43200</v>
      </c>
      <c r="I629" s="1">
        <v>43205</v>
      </c>
      <c r="J629">
        <v>5</v>
      </c>
    </row>
    <row r="630" spans="1:10" x14ac:dyDescent="0.25">
      <c r="A630">
        <v>636231</v>
      </c>
      <c r="B630">
        <v>152689</v>
      </c>
      <c r="C630" t="s">
        <v>11</v>
      </c>
      <c r="D630">
        <v>961</v>
      </c>
      <c r="E630">
        <v>4805</v>
      </c>
      <c r="F630">
        <v>2402.5</v>
      </c>
      <c r="G630">
        <v>2402.5</v>
      </c>
      <c r="H630" s="1">
        <v>43200</v>
      </c>
      <c r="I630" s="1">
        <v>43205</v>
      </c>
      <c r="J630">
        <v>5</v>
      </c>
    </row>
    <row r="631" spans="1:10" x14ac:dyDescent="0.25">
      <c r="A631">
        <v>527195</v>
      </c>
      <c r="B631">
        <v>785432</v>
      </c>
      <c r="C631" t="s">
        <v>14</v>
      </c>
      <c r="D631">
        <v>908</v>
      </c>
      <c r="E631">
        <v>4540</v>
      </c>
      <c r="F631">
        <v>2270</v>
      </c>
      <c r="G631">
        <v>2270</v>
      </c>
      <c r="H631" s="1">
        <v>43200</v>
      </c>
      <c r="I631" s="1">
        <v>43204</v>
      </c>
      <c r="J631">
        <v>4</v>
      </c>
    </row>
    <row r="632" spans="1:10" x14ac:dyDescent="0.25">
      <c r="A632">
        <v>896598</v>
      </c>
      <c r="B632">
        <v>785432</v>
      </c>
      <c r="C632" t="s">
        <v>14</v>
      </c>
      <c r="D632">
        <v>758</v>
      </c>
      <c r="E632">
        <v>3790</v>
      </c>
      <c r="F632">
        <v>1895</v>
      </c>
      <c r="G632">
        <v>1895</v>
      </c>
      <c r="H632" s="1">
        <v>43199</v>
      </c>
      <c r="I632" s="1">
        <v>43203</v>
      </c>
      <c r="J632">
        <v>4</v>
      </c>
    </row>
    <row r="633" spans="1:10" x14ac:dyDescent="0.25">
      <c r="A633">
        <v>792755</v>
      </c>
      <c r="B633">
        <v>785432</v>
      </c>
      <c r="C633" t="s">
        <v>14</v>
      </c>
      <c r="D633">
        <v>450</v>
      </c>
      <c r="E633">
        <v>2250</v>
      </c>
      <c r="F633">
        <v>1125</v>
      </c>
      <c r="G633">
        <v>1125</v>
      </c>
      <c r="H633" s="1">
        <v>43198</v>
      </c>
      <c r="I633" s="1">
        <v>43203</v>
      </c>
      <c r="J633">
        <v>5</v>
      </c>
    </row>
    <row r="634" spans="1:10" x14ac:dyDescent="0.25">
      <c r="A634">
        <v>495674</v>
      </c>
      <c r="B634">
        <v>152689</v>
      </c>
      <c r="C634" t="s">
        <v>11</v>
      </c>
      <c r="D634">
        <v>101</v>
      </c>
      <c r="E634">
        <v>505</v>
      </c>
      <c r="F634">
        <v>252.5</v>
      </c>
      <c r="G634">
        <v>252.5</v>
      </c>
      <c r="H634" s="1">
        <v>43198</v>
      </c>
      <c r="I634" s="1">
        <v>43203</v>
      </c>
      <c r="J634">
        <v>5</v>
      </c>
    </row>
    <row r="635" spans="1:10" x14ac:dyDescent="0.25">
      <c r="A635">
        <v>804517</v>
      </c>
      <c r="B635">
        <v>152689</v>
      </c>
      <c r="C635" t="s">
        <v>11</v>
      </c>
      <c r="D635">
        <v>939</v>
      </c>
      <c r="E635">
        <v>4695</v>
      </c>
      <c r="F635">
        <v>2347.5</v>
      </c>
      <c r="G635">
        <v>2347.5</v>
      </c>
      <c r="H635" s="1">
        <v>43198</v>
      </c>
      <c r="I635" s="1">
        <v>43203</v>
      </c>
      <c r="J635">
        <v>5</v>
      </c>
    </row>
    <row r="636" spans="1:10" x14ac:dyDescent="0.25">
      <c r="A636">
        <v>261976</v>
      </c>
      <c r="B636">
        <v>985245</v>
      </c>
      <c r="C636" t="s">
        <v>13</v>
      </c>
      <c r="D636">
        <v>517</v>
      </c>
      <c r="E636">
        <v>2585</v>
      </c>
      <c r="F636">
        <v>1292.5</v>
      </c>
      <c r="G636">
        <v>1292.5</v>
      </c>
      <c r="H636" s="1">
        <v>43199</v>
      </c>
      <c r="I636" s="1">
        <v>43202</v>
      </c>
      <c r="J636">
        <v>3</v>
      </c>
    </row>
    <row r="637" spans="1:10" x14ac:dyDescent="0.25">
      <c r="A637">
        <v>300690</v>
      </c>
      <c r="B637">
        <v>152689</v>
      </c>
      <c r="C637" t="s">
        <v>11</v>
      </c>
      <c r="D637">
        <v>721</v>
      </c>
      <c r="E637">
        <v>3605</v>
      </c>
      <c r="F637">
        <v>1802.5</v>
      </c>
      <c r="G637">
        <v>1802.5</v>
      </c>
      <c r="H637" s="1">
        <v>43196</v>
      </c>
      <c r="I637" s="1">
        <v>43201</v>
      </c>
      <c r="J637">
        <v>5</v>
      </c>
    </row>
    <row r="638" spans="1:10" x14ac:dyDescent="0.25">
      <c r="A638">
        <v>939145</v>
      </c>
      <c r="B638">
        <v>985245</v>
      </c>
      <c r="C638" t="s">
        <v>13</v>
      </c>
      <c r="D638">
        <v>354</v>
      </c>
      <c r="E638">
        <v>1770</v>
      </c>
      <c r="F638">
        <v>885</v>
      </c>
      <c r="G638">
        <v>885</v>
      </c>
      <c r="H638" s="1">
        <v>43196</v>
      </c>
      <c r="I638" s="1">
        <v>43200</v>
      </c>
      <c r="J638">
        <v>4</v>
      </c>
    </row>
    <row r="639" spans="1:10" x14ac:dyDescent="0.25">
      <c r="A639">
        <v>688166</v>
      </c>
      <c r="B639">
        <v>785432</v>
      </c>
      <c r="C639" t="s">
        <v>14</v>
      </c>
      <c r="D639">
        <v>723</v>
      </c>
      <c r="E639">
        <v>3615</v>
      </c>
      <c r="F639">
        <v>1807.5</v>
      </c>
      <c r="G639">
        <v>1807.5</v>
      </c>
      <c r="H639" s="1">
        <v>43195</v>
      </c>
      <c r="I639" s="1">
        <v>43200</v>
      </c>
      <c r="J639">
        <v>5</v>
      </c>
    </row>
    <row r="640" spans="1:10" x14ac:dyDescent="0.25">
      <c r="A640">
        <v>395032</v>
      </c>
      <c r="B640">
        <v>152689</v>
      </c>
      <c r="C640" t="s">
        <v>11</v>
      </c>
      <c r="D640">
        <v>55</v>
      </c>
      <c r="E640">
        <v>275</v>
      </c>
      <c r="F640">
        <v>137.5</v>
      </c>
      <c r="G640">
        <v>137.5</v>
      </c>
      <c r="H640" s="1">
        <v>43195</v>
      </c>
      <c r="I640" s="1">
        <v>43200</v>
      </c>
      <c r="J640">
        <v>5</v>
      </c>
    </row>
    <row r="641" spans="1:10" x14ac:dyDescent="0.25">
      <c r="A641">
        <v>874028</v>
      </c>
      <c r="B641">
        <v>452584</v>
      </c>
      <c r="C641" t="s">
        <v>12</v>
      </c>
      <c r="D641">
        <v>907</v>
      </c>
      <c r="E641">
        <v>4535</v>
      </c>
      <c r="F641">
        <v>2267.5</v>
      </c>
      <c r="G641">
        <v>2267.5</v>
      </c>
      <c r="H641" s="1">
        <v>43197</v>
      </c>
      <c r="I641" s="1">
        <v>43199</v>
      </c>
      <c r="J641">
        <v>2</v>
      </c>
    </row>
    <row r="642" spans="1:10" x14ac:dyDescent="0.25">
      <c r="A642">
        <v>369785</v>
      </c>
      <c r="B642">
        <v>325698</v>
      </c>
      <c r="C642" t="s">
        <v>15</v>
      </c>
      <c r="D642">
        <v>469</v>
      </c>
      <c r="E642">
        <v>2345</v>
      </c>
      <c r="F642">
        <v>1172.5</v>
      </c>
      <c r="G642">
        <v>1172.5</v>
      </c>
      <c r="H642" s="1">
        <v>43195</v>
      </c>
      <c r="I642" s="1">
        <v>43198</v>
      </c>
      <c r="J642">
        <v>3</v>
      </c>
    </row>
    <row r="643" spans="1:10" x14ac:dyDescent="0.25">
      <c r="A643">
        <v>358525</v>
      </c>
      <c r="B643">
        <v>985245</v>
      </c>
      <c r="C643" t="s">
        <v>13</v>
      </c>
      <c r="D643">
        <v>252</v>
      </c>
      <c r="E643">
        <v>1260</v>
      </c>
      <c r="F643">
        <v>630</v>
      </c>
      <c r="G643">
        <v>630</v>
      </c>
      <c r="H643" s="1">
        <v>43195</v>
      </c>
      <c r="I643" s="1">
        <v>43198</v>
      </c>
      <c r="J643">
        <v>3</v>
      </c>
    </row>
    <row r="644" spans="1:10" x14ac:dyDescent="0.25">
      <c r="A644">
        <v>889899</v>
      </c>
      <c r="B644">
        <v>785432</v>
      </c>
      <c r="C644" t="s">
        <v>14</v>
      </c>
      <c r="D644">
        <v>948</v>
      </c>
      <c r="E644">
        <v>4740</v>
      </c>
      <c r="F644">
        <v>2370</v>
      </c>
      <c r="G644">
        <v>2370</v>
      </c>
      <c r="H644" s="1">
        <v>43193</v>
      </c>
      <c r="I644" s="1">
        <v>43198</v>
      </c>
      <c r="J644">
        <v>5</v>
      </c>
    </row>
    <row r="645" spans="1:10" x14ac:dyDescent="0.25">
      <c r="A645">
        <v>996673</v>
      </c>
      <c r="B645">
        <v>325698</v>
      </c>
      <c r="C645" t="s">
        <v>15</v>
      </c>
      <c r="D645">
        <v>693</v>
      </c>
      <c r="E645">
        <v>3465</v>
      </c>
      <c r="F645">
        <v>1732.5</v>
      </c>
      <c r="G645">
        <v>1732.5</v>
      </c>
      <c r="H645" s="1">
        <v>43195</v>
      </c>
      <c r="I645" s="1">
        <v>43197</v>
      </c>
      <c r="J645">
        <v>2</v>
      </c>
    </row>
    <row r="646" spans="1:10" x14ac:dyDescent="0.25">
      <c r="A646">
        <v>411783</v>
      </c>
      <c r="B646">
        <v>985245</v>
      </c>
      <c r="C646" t="s">
        <v>13</v>
      </c>
      <c r="D646">
        <v>936</v>
      </c>
      <c r="E646">
        <v>4680</v>
      </c>
      <c r="F646">
        <v>2340</v>
      </c>
      <c r="G646">
        <v>2340</v>
      </c>
      <c r="H646" s="1">
        <v>43193</v>
      </c>
      <c r="I646" s="1">
        <v>43197</v>
      </c>
      <c r="J646">
        <v>4</v>
      </c>
    </row>
    <row r="647" spans="1:10" x14ac:dyDescent="0.25">
      <c r="A647">
        <v>125379</v>
      </c>
      <c r="B647">
        <v>325698</v>
      </c>
      <c r="C647" t="s">
        <v>15</v>
      </c>
      <c r="D647">
        <v>584</v>
      </c>
      <c r="E647">
        <v>2920</v>
      </c>
      <c r="F647">
        <v>1460</v>
      </c>
      <c r="G647">
        <v>1460</v>
      </c>
      <c r="H647" s="1">
        <v>43193</v>
      </c>
      <c r="I647" s="1">
        <v>43196</v>
      </c>
      <c r="J647">
        <v>3</v>
      </c>
    </row>
    <row r="648" spans="1:10" x14ac:dyDescent="0.25">
      <c r="A648">
        <v>287069</v>
      </c>
      <c r="B648">
        <v>985245</v>
      </c>
      <c r="C648" t="s">
        <v>13</v>
      </c>
      <c r="D648">
        <v>949</v>
      </c>
      <c r="E648">
        <v>4745</v>
      </c>
      <c r="F648">
        <v>2372.5</v>
      </c>
      <c r="G648">
        <v>2372.5</v>
      </c>
      <c r="H648" s="1">
        <v>43193</v>
      </c>
      <c r="I648" s="1">
        <v>43196</v>
      </c>
      <c r="J648">
        <v>3</v>
      </c>
    </row>
    <row r="649" spans="1:10" x14ac:dyDescent="0.25">
      <c r="A649">
        <v>737402</v>
      </c>
      <c r="B649">
        <v>985245</v>
      </c>
      <c r="C649" t="s">
        <v>13</v>
      </c>
      <c r="D649">
        <v>180</v>
      </c>
      <c r="E649">
        <v>900</v>
      </c>
      <c r="F649">
        <v>450</v>
      </c>
      <c r="G649">
        <v>450</v>
      </c>
      <c r="H649" s="1">
        <v>43191</v>
      </c>
      <c r="I649" s="1">
        <v>43195</v>
      </c>
      <c r="J649">
        <v>4</v>
      </c>
    </row>
    <row r="650" spans="1:10" x14ac:dyDescent="0.25">
      <c r="A650">
        <v>562164</v>
      </c>
      <c r="B650">
        <v>785432</v>
      </c>
      <c r="C650" t="s">
        <v>14</v>
      </c>
      <c r="D650">
        <v>617</v>
      </c>
      <c r="E650">
        <v>3085</v>
      </c>
      <c r="F650">
        <v>1542.5</v>
      </c>
      <c r="G650">
        <v>1542.5</v>
      </c>
      <c r="H650" s="1">
        <v>43190</v>
      </c>
      <c r="I650" s="1">
        <v>43195</v>
      </c>
      <c r="J650">
        <v>5</v>
      </c>
    </row>
    <row r="651" spans="1:10" x14ac:dyDescent="0.25">
      <c r="A651">
        <v>153776</v>
      </c>
      <c r="B651">
        <v>152689</v>
      </c>
      <c r="C651" t="s">
        <v>11</v>
      </c>
      <c r="D651">
        <v>626</v>
      </c>
      <c r="E651">
        <v>3130</v>
      </c>
      <c r="F651">
        <v>1565</v>
      </c>
      <c r="G651">
        <v>1565</v>
      </c>
      <c r="H651" s="1">
        <v>43190</v>
      </c>
      <c r="I651" s="1">
        <v>43195</v>
      </c>
      <c r="J651">
        <v>5</v>
      </c>
    </row>
    <row r="652" spans="1:10" x14ac:dyDescent="0.25">
      <c r="A652">
        <v>252802</v>
      </c>
      <c r="B652">
        <v>325698</v>
      </c>
      <c r="C652" t="s">
        <v>15</v>
      </c>
      <c r="D652">
        <v>177</v>
      </c>
      <c r="E652">
        <v>885</v>
      </c>
      <c r="F652">
        <v>442.5</v>
      </c>
      <c r="G652">
        <v>442.5</v>
      </c>
      <c r="H652" s="1">
        <v>43192</v>
      </c>
      <c r="I652" s="1">
        <v>43194</v>
      </c>
      <c r="J652">
        <v>2</v>
      </c>
    </row>
    <row r="653" spans="1:10" x14ac:dyDescent="0.25">
      <c r="A653">
        <v>193575</v>
      </c>
      <c r="B653">
        <v>152689</v>
      </c>
      <c r="C653" t="s">
        <v>11</v>
      </c>
      <c r="D653">
        <v>497</v>
      </c>
      <c r="E653">
        <v>2485</v>
      </c>
      <c r="F653">
        <v>1242.5</v>
      </c>
      <c r="G653">
        <v>1242.5</v>
      </c>
      <c r="H653" s="1">
        <v>43188</v>
      </c>
      <c r="I653" s="1">
        <v>43193</v>
      </c>
      <c r="J653">
        <v>5</v>
      </c>
    </row>
    <row r="654" spans="1:10" x14ac:dyDescent="0.25">
      <c r="A654">
        <v>530815</v>
      </c>
      <c r="B654">
        <v>985245</v>
      </c>
      <c r="C654" t="s">
        <v>13</v>
      </c>
      <c r="D654">
        <v>970</v>
      </c>
      <c r="E654">
        <v>4850</v>
      </c>
      <c r="F654">
        <v>2425</v>
      </c>
      <c r="G654">
        <v>2425</v>
      </c>
      <c r="H654" s="1">
        <v>43189</v>
      </c>
      <c r="I654" s="1">
        <v>43192</v>
      </c>
      <c r="J654">
        <v>3</v>
      </c>
    </row>
    <row r="655" spans="1:10" x14ac:dyDescent="0.25">
      <c r="A655">
        <v>439660</v>
      </c>
      <c r="B655">
        <v>325698</v>
      </c>
      <c r="C655" t="s">
        <v>15</v>
      </c>
      <c r="D655">
        <v>414</v>
      </c>
      <c r="E655">
        <v>2070</v>
      </c>
      <c r="F655">
        <v>1035</v>
      </c>
      <c r="G655">
        <v>1035</v>
      </c>
      <c r="H655" s="1">
        <v>43189</v>
      </c>
      <c r="I655" s="1">
        <v>43191</v>
      </c>
      <c r="J655">
        <v>2</v>
      </c>
    </row>
    <row r="656" spans="1:10" x14ac:dyDescent="0.25">
      <c r="A656">
        <v>600709</v>
      </c>
      <c r="B656">
        <v>985245</v>
      </c>
      <c r="C656" t="s">
        <v>13</v>
      </c>
      <c r="D656">
        <v>423</v>
      </c>
      <c r="E656">
        <v>2115</v>
      </c>
      <c r="F656">
        <v>1057.5</v>
      </c>
      <c r="G656">
        <v>1057.5</v>
      </c>
      <c r="H656" s="1">
        <v>43187</v>
      </c>
      <c r="I656" s="1">
        <v>43190</v>
      </c>
      <c r="J656">
        <v>3</v>
      </c>
    </row>
    <row r="657" spans="1:10" x14ac:dyDescent="0.25">
      <c r="A657">
        <v>444454</v>
      </c>
      <c r="B657">
        <v>785432</v>
      </c>
      <c r="C657" t="s">
        <v>14</v>
      </c>
      <c r="D657">
        <v>345</v>
      </c>
      <c r="E657">
        <v>1725</v>
      </c>
      <c r="F657">
        <v>862.5</v>
      </c>
      <c r="G657">
        <v>862.5</v>
      </c>
      <c r="H657" s="1">
        <v>43186</v>
      </c>
      <c r="I657" s="1">
        <v>43190</v>
      </c>
      <c r="J657">
        <v>4</v>
      </c>
    </row>
    <row r="658" spans="1:10" x14ac:dyDescent="0.25">
      <c r="A658">
        <v>501695</v>
      </c>
      <c r="B658">
        <v>452584</v>
      </c>
      <c r="C658" t="s">
        <v>12</v>
      </c>
      <c r="D658">
        <v>223</v>
      </c>
      <c r="E658">
        <v>1115</v>
      </c>
      <c r="F658">
        <v>557.5</v>
      </c>
      <c r="G658">
        <v>557.5</v>
      </c>
      <c r="H658" s="1">
        <v>43187</v>
      </c>
      <c r="I658" s="1">
        <v>43189</v>
      </c>
      <c r="J658">
        <v>2</v>
      </c>
    </row>
    <row r="659" spans="1:10" x14ac:dyDescent="0.25">
      <c r="A659">
        <v>362200</v>
      </c>
      <c r="B659">
        <v>325698</v>
      </c>
      <c r="C659" t="s">
        <v>15</v>
      </c>
      <c r="D659">
        <v>352</v>
      </c>
      <c r="E659">
        <v>1760</v>
      </c>
      <c r="F659">
        <v>880</v>
      </c>
      <c r="G659">
        <v>880</v>
      </c>
      <c r="H659" s="1">
        <v>43187</v>
      </c>
      <c r="I659" s="1">
        <v>43189</v>
      </c>
      <c r="J659">
        <v>2</v>
      </c>
    </row>
    <row r="660" spans="1:10" x14ac:dyDescent="0.25">
      <c r="A660">
        <v>667496</v>
      </c>
      <c r="B660">
        <v>152689</v>
      </c>
      <c r="C660" t="s">
        <v>11</v>
      </c>
      <c r="D660">
        <v>833</v>
      </c>
      <c r="E660">
        <v>4165</v>
      </c>
      <c r="F660">
        <v>2082.5</v>
      </c>
      <c r="G660">
        <v>2082.5</v>
      </c>
      <c r="H660" s="1">
        <v>43184</v>
      </c>
      <c r="I660" s="1">
        <v>43189</v>
      </c>
      <c r="J660">
        <v>5</v>
      </c>
    </row>
    <row r="661" spans="1:10" x14ac:dyDescent="0.25">
      <c r="A661">
        <v>349625</v>
      </c>
      <c r="B661">
        <v>152689</v>
      </c>
      <c r="C661" t="s">
        <v>11</v>
      </c>
      <c r="D661">
        <v>165</v>
      </c>
      <c r="E661">
        <v>825</v>
      </c>
      <c r="F661">
        <v>412.5</v>
      </c>
      <c r="G661">
        <v>412.5</v>
      </c>
      <c r="H661" s="1">
        <v>43184</v>
      </c>
      <c r="I661" s="1">
        <v>43189</v>
      </c>
      <c r="J661">
        <v>5</v>
      </c>
    </row>
    <row r="662" spans="1:10" x14ac:dyDescent="0.25">
      <c r="A662">
        <v>776457</v>
      </c>
      <c r="B662">
        <v>325698</v>
      </c>
      <c r="C662" t="s">
        <v>15</v>
      </c>
      <c r="D662">
        <v>496</v>
      </c>
      <c r="E662">
        <v>2480</v>
      </c>
      <c r="F662">
        <v>1240</v>
      </c>
      <c r="G662">
        <v>1240</v>
      </c>
      <c r="H662" s="1">
        <v>43186</v>
      </c>
      <c r="I662" s="1">
        <v>43188</v>
      </c>
      <c r="J662">
        <v>2</v>
      </c>
    </row>
    <row r="663" spans="1:10" x14ac:dyDescent="0.25">
      <c r="A663">
        <v>815052</v>
      </c>
      <c r="B663">
        <v>985245</v>
      </c>
      <c r="C663" t="s">
        <v>13</v>
      </c>
      <c r="D663">
        <v>492</v>
      </c>
      <c r="E663">
        <v>2460</v>
      </c>
      <c r="F663">
        <v>1230</v>
      </c>
      <c r="G663">
        <v>1230</v>
      </c>
      <c r="H663" s="1">
        <v>43185</v>
      </c>
      <c r="I663" s="1">
        <v>43188</v>
      </c>
      <c r="J663">
        <v>3</v>
      </c>
    </row>
    <row r="664" spans="1:10" x14ac:dyDescent="0.25">
      <c r="A664">
        <v>843899</v>
      </c>
      <c r="B664">
        <v>325698</v>
      </c>
      <c r="C664" t="s">
        <v>15</v>
      </c>
      <c r="D664">
        <v>763</v>
      </c>
      <c r="E664">
        <v>3815</v>
      </c>
      <c r="F664">
        <v>1907.5</v>
      </c>
      <c r="G664">
        <v>1907.5</v>
      </c>
      <c r="H664" s="1">
        <v>43185</v>
      </c>
      <c r="I664" s="1">
        <v>43187</v>
      </c>
      <c r="J664">
        <v>2</v>
      </c>
    </row>
    <row r="665" spans="1:10" x14ac:dyDescent="0.25">
      <c r="A665">
        <v>661096</v>
      </c>
      <c r="B665">
        <v>152689</v>
      </c>
      <c r="C665" t="s">
        <v>11</v>
      </c>
      <c r="D665">
        <v>825</v>
      </c>
      <c r="E665">
        <v>4125</v>
      </c>
      <c r="F665">
        <v>2062.5</v>
      </c>
      <c r="G665">
        <v>2062.5</v>
      </c>
      <c r="H665" s="1">
        <v>43182</v>
      </c>
      <c r="I665" s="1">
        <v>43187</v>
      </c>
      <c r="J665">
        <v>5</v>
      </c>
    </row>
    <row r="666" spans="1:10" x14ac:dyDescent="0.25">
      <c r="A666">
        <v>347480</v>
      </c>
      <c r="B666">
        <v>325698</v>
      </c>
      <c r="C666" t="s">
        <v>15</v>
      </c>
      <c r="D666">
        <v>839</v>
      </c>
      <c r="E666">
        <v>4195</v>
      </c>
      <c r="F666">
        <v>2097.5</v>
      </c>
      <c r="G666">
        <v>2097.5</v>
      </c>
      <c r="H666" s="1">
        <v>43184</v>
      </c>
      <c r="I666" s="1">
        <v>43186</v>
      </c>
      <c r="J666">
        <v>2</v>
      </c>
    </row>
    <row r="667" spans="1:10" x14ac:dyDescent="0.25">
      <c r="A667">
        <v>899773</v>
      </c>
      <c r="B667">
        <v>325698</v>
      </c>
      <c r="C667" t="s">
        <v>15</v>
      </c>
      <c r="D667">
        <v>196</v>
      </c>
      <c r="E667">
        <v>980</v>
      </c>
      <c r="F667">
        <v>490</v>
      </c>
      <c r="G667">
        <v>490</v>
      </c>
      <c r="H667" s="1">
        <v>43183</v>
      </c>
      <c r="I667" s="1">
        <v>43185</v>
      </c>
      <c r="J667">
        <v>2</v>
      </c>
    </row>
    <row r="668" spans="1:10" x14ac:dyDescent="0.25">
      <c r="A668">
        <v>631486</v>
      </c>
      <c r="B668">
        <v>785432</v>
      </c>
      <c r="C668" t="s">
        <v>14</v>
      </c>
      <c r="D668">
        <v>205</v>
      </c>
      <c r="E668">
        <v>1025</v>
      </c>
      <c r="F668">
        <v>512.5</v>
      </c>
      <c r="G668">
        <v>512.5</v>
      </c>
      <c r="H668" s="1">
        <v>43180</v>
      </c>
      <c r="I668" s="1">
        <v>43185</v>
      </c>
      <c r="J668">
        <v>5</v>
      </c>
    </row>
    <row r="669" spans="1:10" x14ac:dyDescent="0.25">
      <c r="A669">
        <v>201852</v>
      </c>
      <c r="B669">
        <v>152689</v>
      </c>
      <c r="C669" t="s">
        <v>11</v>
      </c>
      <c r="D669">
        <v>591</v>
      </c>
      <c r="E669">
        <v>2955</v>
      </c>
      <c r="F669">
        <v>1477.5</v>
      </c>
      <c r="G669">
        <v>1477.5</v>
      </c>
      <c r="H669" s="1">
        <v>43180</v>
      </c>
      <c r="I669" s="1">
        <v>43185</v>
      </c>
      <c r="J669">
        <v>5</v>
      </c>
    </row>
    <row r="670" spans="1:10" x14ac:dyDescent="0.25">
      <c r="A670">
        <v>609313</v>
      </c>
      <c r="B670">
        <v>452584</v>
      </c>
      <c r="C670" t="s">
        <v>12</v>
      </c>
      <c r="D670">
        <v>72</v>
      </c>
      <c r="E670">
        <v>360</v>
      </c>
      <c r="F670">
        <v>180</v>
      </c>
      <c r="G670">
        <v>180</v>
      </c>
      <c r="H670" s="1">
        <v>43182</v>
      </c>
      <c r="I670" s="1">
        <v>43184</v>
      </c>
      <c r="J670">
        <v>2</v>
      </c>
    </row>
    <row r="671" spans="1:10" x14ac:dyDescent="0.25">
      <c r="A671">
        <v>733124</v>
      </c>
      <c r="B671">
        <v>325698</v>
      </c>
      <c r="C671" t="s">
        <v>15</v>
      </c>
      <c r="D671">
        <v>628</v>
      </c>
      <c r="E671">
        <v>3140</v>
      </c>
      <c r="F671">
        <v>1570</v>
      </c>
      <c r="G671">
        <v>1570</v>
      </c>
      <c r="H671" s="1">
        <v>43182</v>
      </c>
      <c r="I671" s="1">
        <v>43184</v>
      </c>
      <c r="J671">
        <v>2</v>
      </c>
    </row>
    <row r="672" spans="1:10" x14ac:dyDescent="0.25">
      <c r="A672">
        <v>558660</v>
      </c>
      <c r="B672">
        <v>452584</v>
      </c>
      <c r="C672" t="s">
        <v>12</v>
      </c>
      <c r="D672">
        <v>279</v>
      </c>
      <c r="E672">
        <v>1395</v>
      </c>
      <c r="F672">
        <v>697.5</v>
      </c>
      <c r="G672">
        <v>697.5</v>
      </c>
      <c r="H672" s="1">
        <v>43181</v>
      </c>
      <c r="I672" s="1">
        <v>43183</v>
      </c>
      <c r="J672">
        <v>2</v>
      </c>
    </row>
    <row r="673" spans="1:10" x14ac:dyDescent="0.25">
      <c r="A673">
        <v>538280</v>
      </c>
      <c r="B673">
        <v>785432</v>
      </c>
      <c r="C673" t="s">
        <v>14</v>
      </c>
      <c r="D673">
        <v>110</v>
      </c>
      <c r="E673">
        <v>550</v>
      </c>
      <c r="F673">
        <v>275</v>
      </c>
      <c r="G673">
        <v>275</v>
      </c>
      <c r="H673" s="1">
        <v>43178</v>
      </c>
      <c r="I673" s="1">
        <v>43183</v>
      </c>
      <c r="J673">
        <v>5</v>
      </c>
    </row>
    <row r="674" spans="1:10" x14ac:dyDescent="0.25">
      <c r="A674">
        <v>358881</v>
      </c>
      <c r="B674">
        <v>785432</v>
      </c>
      <c r="C674" t="s">
        <v>14</v>
      </c>
      <c r="D674">
        <v>478</v>
      </c>
      <c r="E674">
        <v>2390</v>
      </c>
      <c r="F674">
        <v>1195</v>
      </c>
      <c r="G674">
        <v>1195</v>
      </c>
      <c r="H674" s="1">
        <v>43178</v>
      </c>
      <c r="I674" s="1">
        <v>43183</v>
      </c>
      <c r="J674">
        <v>5</v>
      </c>
    </row>
    <row r="675" spans="1:10" x14ac:dyDescent="0.25">
      <c r="A675">
        <v>715368</v>
      </c>
      <c r="B675">
        <v>152689</v>
      </c>
      <c r="C675" t="s">
        <v>11</v>
      </c>
      <c r="D675">
        <v>380</v>
      </c>
      <c r="E675">
        <v>1900</v>
      </c>
      <c r="F675">
        <v>950</v>
      </c>
      <c r="G675">
        <v>950</v>
      </c>
      <c r="H675" s="1">
        <v>43178</v>
      </c>
      <c r="I675" s="1">
        <v>43183</v>
      </c>
      <c r="J675">
        <v>5</v>
      </c>
    </row>
    <row r="676" spans="1:10" x14ac:dyDescent="0.25">
      <c r="A676">
        <v>193804</v>
      </c>
      <c r="B676">
        <v>152689</v>
      </c>
      <c r="C676" t="s">
        <v>11</v>
      </c>
      <c r="D676">
        <v>678</v>
      </c>
      <c r="E676">
        <v>3390</v>
      </c>
      <c r="F676">
        <v>1695</v>
      </c>
      <c r="G676">
        <v>1695</v>
      </c>
      <c r="H676" s="1">
        <v>43178</v>
      </c>
      <c r="I676" s="1">
        <v>43183</v>
      </c>
      <c r="J676">
        <v>5</v>
      </c>
    </row>
    <row r="677" spans="1:10" x14ac:dyDescent="0.25">
      <c r="A677">
        <v>135985</v>
      </c>
      <c r="B677">
        <v>325698</v>
      </c>
      <c r="C677" t="s">
        <v>15</v>
      </c>
      <c r="D677">
        <v>308</v>
      </c>
      <c r="E677">
        <v>1540</v>
      </c>
      <c r="F677">
        <v>770</v>
      </c>
      <c r="G677">
        <v>770</v>
      </c>
      <c r="H677" s="1">
        <v>43179</v>
      </c>
      <c r="I677" s="1">
        <v>43182</v>
      </c>
      <c r="J677">
        <v>3</v>
      </c>
    </row>
    <row r="678" spans="1:10" x14ac:dyDescent="0.25">
      <c r="A678">
        <v>816400</v>
      </c>
      <c r="B678">
        <v>985245</v>
      </c>
      <c r="C678" t="s">
        <v>13</v>
      </c>
      <c r="D678">
        <v>243</v>
      </c>
      <c r="E678">
        <v>1215</v>
      </c>
      <c r="F678">
        <v>607.5</v>
      </c>
      <c r="G678">
        <v>607.5</v>
      </c>
      <c r="H678" s="1">
        <v>43178</v>
      </c>
      <c r="I678" s="1">
        <v>43182</v>
      </c>
      <c r="J678">
        <v>4</v>
      </c>
    </row>
    <row r="679" spans="1:10" x14ac:dyDescent="0.25">
      <c r="A679">
        <v>837897</v>
      </c>
      <c r="B679">
        <v>985245</v>
      </c>
      <c r="C679" t="s">
        <v>13</v>
      </c>
      <c r="D679">
        <v>923</v>
      </c>
      <c r="E679">
        <v>4615</v>
      </c>
      <c r="F679">
        <v>2307.5</v>
      </c>
      <c r="G679">
        <v>2307.5</v>
      </c>
      <c r="H679" s="1">
        <v>43178</v>
      </c>
      <c r="I679" s="1">
        <v>43182</v>
      </c>
      <c r="J679">
        <v>4</v>
      </c>
    </row>
    <row r="680" spans="1:10" x14ac:dyDescent="0.25">
      <c r="A680">
        <v>341053</v>
      </c>
      <c r="B680">
        <v>985245</v>
      </c>
      <c r="C680" t="s">
        <v>13</v>
      </c>
      <c r="D680">
        <v>840</v>
      </c>
      <c r="E680">
        <v>4200</v>
      </c>
      <c r="F680">
        <v>2100</v>
      </c>
      <c r="G680">
        <v>2100</v>
      </c>
      <c r="H680" s="1">
        <v>43178</v>
      </c>
      <c r="I680" s="1">
        <v>43182</v>
      </c>
      <c r="J680">
        <v>4</v>
      </c>
    </row>
    <row r="681" spans="1:10" x14ac:dyDescent="0.25">
      <c r="A681">
        <v>656059</v>
      </c>
      <c r="B681">
        <v>785432</v>
      </c>
      <c r="C681" t="s">
        <v>14</v>
      </c>
      <c r="D681">
        <v>713</v>
      </c>
      <c r="E681">
        <v>3565</v>
      </c>
      <c r="F681">
        <v>1782.5</v>
      </c>
      <c r="G681">
        <v>1782.5</v>
      </c>
      <c r="H681" s="1">
        <v>43175</v>
      </c>
      <c r="I681" s="1">
        <v>43180</v>
      </c>
      <c r="J681">
        <v>5</v>
      </c>
    </row>
    <row r="682" spans="1:10" x14ac:dyDescent="0.25">
      <c r="A682">
        <v>645851</v>
      </c>
      <c r="B682">
        <v>325698</v>
      </c>
      <c r="C682" t="s">
        <v>15</v>
      </c>
      <c r="D682">
        <v>971</v>
      </c>
      <c r="E682">
        <v>4855</v>
      </c>
      <c r="F682">
        <v>2427.5</v>
      </c>
      <c r="G682">
        <v>2427.5</v>
      </c>
      <c r="H682" s="1">
        <v>43177</v>
      </c>
      <c r="I682" s="1">
        <v>43179</v>
      </c>
      <c r="J682">
        <v>2</v>
      </c>
    </row>
    <row r="683" spans="1:10" x14ac:dyDescent="0.25">
      <c r="A683">
        <v>937695</v>
      </c>
      <c r="B683">
        <v>325698</v>
      </c>
      <c r="C683" t="s">
        <v>15</v>
      </c>
      <c r="D683">
        <v>422</v>
      </c>
      <c r="E683">
        <v>2110</v>
      </c>
      <c r="F683">
        <v>1055</v>
      </c>
      <c r="G683">
        <v>1055</v>
      </c>
      <c r="H683" s="1">
        <v>43176</v>
      </c>
      <c r="I683" s="1">
        <v>43178</v>
      </c>
      <c r="J683">
        <v>2</v>
      </c>
    </row>
    <row r="684" spans="1:10" x14ac:dyDescent="0.25">
      <c r="A684">
        <v>244795</v>
      </c>
      <c r="B684">
        <v>785432</v>
      </c>
      <c r="C684" t="s">
        <v>14</v>
      </c>
      <c r="D684">
        <v>354</v>
      </c>
      <c r="E684">
        <v>1770</v>
      </c>
      <c r="F684">
        <v>885</v>
      </c>
      <c r="G684">
        <v>885</v>
      </c>
      <c r="H684" s="1">
        <v>43174</v>
      </c>
      <c r="I684" s="1">
        <v>43178</v>
      </c>
      <c r="J684">
        <v>4</v>
      </c>
    </row>
    <row r="685" spans="1:10" x14ac:dyDescent="0.25">
      <c r="A685">
        <v>543992</v>
      </c>
      <c r="B685">
        <v>325698</v>
      </c>
      <c r="C685" t="s">
        <v>15</v>
      </c>
      <c r="D685">
        <v>134</v>
      </c>
      <c r="E685">
        <v>670</v>
      </c>
      <c r="F685">
        <v>335</v>
      </c>
      <c r="G685">
        <v>335</v>
      </c>
      <c r="H685" s="1">
        <v>43175</v>
      </c>
      <c r="I685" s="1">
        <v>43177</v>
      </c>
      <c r="J685">
        <v>2</v>
      </c>
    </row>
    <row r="686" spans="1:10" x14ac:dyDescent="0.25">
      <c r="A686">
        <v>713172</v>
      </c>
      <c r="B686">
        <v>325698</v>
      </c>
      <c r="C686" t="s">
        <v>15</v>
      </c>
      <c r="D686">
        <v>287</v>
      </c>
      <c r="E686">
        <v>1435</v>
      </c>
      <c r="F686">
        <v>717.5</v>
      </c>
      <c r="G686">
        <v>717.5</v>
      </c>
      <c r="H686" s="1">
        <v>43175</v>
      </c>
      <c r="I686" s="1">
        <v>43177</v>
      </c>
      <c r="J686">
        <v>2</v>
      </c>
    </row>
    <row r="687" spans="1:10" x14ac:dyDescent="0.25">
      <c r="A687">
        <v>747821</v>
      </c>
      <c r="B687">
        <v>985245</v>
      </c>
      <c r="C687" t="s">
        <v>13</v>
      </c>
      <c r="D687">
        <v>893</v>
      </c>
      <c r="E687">
        <v>4465</v>
      </c>
      <c r="F687">
        <v>2232.5</v>
      </c>
      <c r="G687">
        <v>2232.5</v>
      </c>
      <c r="H687" s="1">
        <v>43173</v>
      </c>
      <c r="I687" s="1">
        <v>43177</v>
      </c>
      <c r="J687">
        <v>4</v>
      </c>
    </row>
    <row r="688" spans="1:10" x14ac:dyDescent="0.25">
      <c r="A688">
        <v>601956</v>
      </c>
      <c r="B688">
        <v>325698</v>
      </c>
      <c r="C688" t="s">
        <v>15</v>
      </c>
      <c r="D688">
        <v>208</v>
      </c>
      <c r="E688">
        <v>1040</v>
      </c>
      <c r="F688">
        <v>520</v>
      </c>
      <c r="G688">
        <v>520</v>
      </c>
      <c r="H688" s="1">
        <v>43173</v>
      </c>
      <c r="I688" s="1">
        <v>43176</v>
      </c>
      <c r="J688">
        <v>3</v>
      </c>
    </row>
    <row r="689" spans="1:10" x14ac:dyDescent="0.25">
      <c r="A689">
        <v>223355</v>
      </c>
      <c r="B689">
        <v>325698</v>
      </c>
      <c r="C689" t="s">
        <v>15</v>
      </c>
      <c r="D689">
        <v>936</v>
      </c>
      <c r="E689">
        <v>4680</v>
      </c>
      <c r="F689">
        <v>2340</v>
      </c>
      <c r="G689">
        <v>2340</v>
      </c>
      <c r="H689" s="1">
        <v>43173</v>
      </c>
      <c r="I689" s="1">
        <v>43175</v>
      </c>
      <c r="J689">
        <v>2</v>
      </c>
    </row>
    <row r="690" spans="1:10" x14ac:dyDescent="0.25">
      <c r="A690">
        <v>116991</v>
      </c>
      <c r="B690">
        <v>152689</v>
      </c>
      <c r="C690" t="s">
        <v>11</v>
      </c>
      <c r="D690">
        <v>107</v>
      </c>
      <c r="E690">
        <v>535</v>
      </c>
      <c r="F690">
        <v>267.5</v>
      </c>
      <c r="G690">
        <v>267.5</v>
      </c>
      <c r="H690" s="1">
        <v>43170</v>
      </c>
      <c r="I690" s="1">
        <v>43175</v>
      </c>
      <c r="J690">
        <v>5</v>
      </c>
    </row>
    <row r="691" spans="1:10" x14ac:dyDescent="0.25">
      <c r="A691">
        <v>345448</v>
      </c>
      <c r="B691">
        <v>152689</v>
      </c>
      <c r="C691" t="s">
        <v>11</v>
      </c>
      <c r="D691">
        <v>370</v>
      </c>
      <c r="E691">
        <v>1850</v>
      </c>
      <c r="F691">
        <v>925</v>
      </c>
      <c r="G691">
        <v>925</v>
      </c>
      <c r="H691" s="1">
        <v>43170</v>
      </c>
      <c r="I691" s="1">
        <v>43175</v>
      </c>
      <c r="J691">
        <v>5</v>
      </c>
    </row>
    <row r="692" spans="1:10" x14ac:dyDescent="0.25">
      <c r="A692">
        <v>299057</v>
      </c>
      <c r="B692">
        <v>325698</v>
      </c>
      <c r="C692" t="s">
        <v>15</v>
      </c>
      <c r="D692">
        <v>318</v>
      </c>
      <c r="E692">
        <v>1590</v>
      </c>
      <c r="F692">
        <v>795</v>
      </c>
      <c r="G692">
        <v>795</v>
      </c>
      <c r="H692" s="1">
        <v>43171</v>
      </c>
      <c r="I692" s="1">
        <v>43173</v>
      </c>
      <c r="J692">
        <v>2</v>
      </c>
    </row>
    <row r="693" spans="1:10" x14ac:dyDescent="0.25">
      <c r="A693">
        <v>776178</v>
      </c>
      <c r="B693">
        <v>152689</v>
      </c>
      <c r="C693" t="s">
        <v>11</v>
      </c>
      <c r="D693">
        <v>413</v>
      </c>
      <c r="E693">
        <v>2065</v>
      </c>
      <c r="F693">
        <v>1032.5</v>
      </c>
      <c r="G693">
        <v>1032.5</v>
      </c>
      <c r="H693" s="1">
        <v>43168</v>
      </c>
      <c r="I693" s="1">
        <v>43173</v>
      </c>
      <c r="J693">
        <v>5</v>
      </c>
    </row>
    <row r="694" spans="1:10" x14ac:dyDescent="0.25">
      <c r="A694">
        <v>692578</v>
      </c>
      <c r="B694">
        <v>325698</v>
      </c>
      <c r="C694" t="s">
        <v>15</v>
      </c>
      <c r="D694">
        <v>476</v>
      </c>
      <c r="E694">
        <v>2380</v>
      </c>
      <c r="F694">
        <v>1190</v>
      </c>
      <c r="G694">
        <v>1190</v>
      </c>
      <c r="H694" s="1">
        <v>43168</v>
      </c>
      <c r="I694" s="1">
        <v>43171</v>
      </c>
      <c r="J694">
        <v>3</v>
      </c>
    </row>
    <row r="695" spans="1:10" x14ac:dyDescent="0.25">
      <c r="A695">
        <v>872152</v>
      </c>
      <c r="B695">
        <v>785432</v>
      </c>
      <c r="C695" t="s">
        <v>14</v>
      </c>
      <c r="D695">
        <v>283</v>
      </c>
      <c r="E695">
        <v>1415</v>
      </c>
      <c r="F695">
        <v>707.5</v>
      </c>
      <c r="G695">
        <v>707.5</v>
      </c>
      <c r="H695" s="1">
        <v>43167</v>
      </c>
      <c r="I695" s="1">
        <v>43171</v>
      </c>
      <c r="J695">
        <v>4</v>
      </c>
    </row>
    <row r="696" spans="1:10" x14ac:dyDescent="0.25">
      <c r="A696">
        <v>538599</v>
      </c>
      <c r="B696">
        <v>152689</v>
      </c>
      <c r="C696" t="s">
        <v>11</v>
      </c>
      <c r="D696">
        <v>309</v>
      </c>
      <c r="E696">
        <v>1545</v>
      </c>
      <c r="F696">
        <v>772.5</v>
      </c>
      <c r="G696">
        <v>772.5</v>
      </c>
      <c r="H696" s="1">
        <v>43166</v>
      </c>
      <c r="I696" s="1">
        <v>43171</v>
      </c>
      <c r="J696">
        <v>5</v>
      </c>
    </row>
    <row r="697" spans="1:10" x14ac:dyDescent="0.25">
      <c r="A697">
        <v>637182</v>
      </c>
      <c r="B697">
        <v>325698</v>
      </c>
      <c r="C697" t="s">
        <v>15</v>
      </c>
      <c r="D697">
        <v>250</v>
      </c>
      <c r="E697">
        <v>1250</v>
      </c>
      <c r="F697">
        <v>625</v>
      </c>
      <c r="G697">
        <v>625</v>
      </c>
      <c r="H697" s="1">
        <v>43168</v>
      </c>
      <c r="I697" s="1">
        <v>43170</v>
      </c>
      <c r="J697">
        <v>2</v>
      </c>
    </row>
    <row r="698" spans="1:10" x14ac:dyDescent="0.25">
      <c r="A698">
        <v>373006</v>
      </c>
      <c r="B698">
        <v>985245</v>
      </c>
      <c r="C698" t="s">
        <v>13</v>
      </c>
      <c r="D698">
        <v>930</v>
      </c>
      <c r="E698">
        <v>4650</v>
      </c>
      <c r="F698">
        <v>2325</v>
      </c>
      <c r="G698">
        <v>2325</v>
      </c>
      <c r="H698" s="1">
        <v>43167</v>
      </c>
      <c r="I698" s="1">
        <v>43170</v>
      </c>
      <c r="J698">
        <v>3</v>
      </c>
    </row>
    <row r="699" spans="1:10" x14ac:dyDescent="0.25">
      <c r="A699">
        <v>928655</v>
      </c>
      <c r="B699">
        <v>152689</v>
      </c>
      <c r="C699" t="s">
        <v>11</v>
      </c>
      <c r="D699">
        <v>353</v>
      </c>
      <c r="E699">
        <v>1765</v>
      </c>
      <c r="F699">
        <v>882.5</v>
      </c>
      <c r="G699">
        <v>882.5</v>
      </c>
      <c r="H699" s="1">
        <v>43165</v>
      </c>
      <c r="I699" s="1">
        <v>43170</v>
      </c>
      <c r="J699">
        <v>5</v>
      </c>
    </row>
    <row r="700" spans="1:10" x14ac:dyDescent="0.25">
      <c r="A700">
        <v>254587</v>
      </c>
      <c r="B700">
        <v>325698</v>
      </c>
      <c r="C700" t="s">
        <v>15</v>
      </c>
      <c r="D700">
        <v>160</v>
      </c>
      <c r="E700">
        <v>800</v>
      </c>
      <c r="F700">
        <v>400</v>
      </c>
      <c r="G700">
        <v>400</v>
      </c>
      <c r="H700" s="1">
        <v>43166</v>
      </c>
      <c r="I700" s="1">
        <v>43169</v>
      </c>
      <c r="J700">
        <v>3</v>
      </c>
    </row>
    <row r="701" spans="1:10" x14ac:dyDescent="0.25">
      <c r="A701">
        <v>801974</v>
      </c>
      <c r="B701">
        <v>985245</v>
      </c>
      <c r="C701" t="s">
        <v>13</v>
      </c>
      <c r="D701">
        <v>491</v>
      </c>
      <c r="E701">
        <v>2455</v>
      </c>
      <c r="F701">
        <v>1227.5</v>
      </c>
      <c r="G701">
        <v>1227.5</v>
      </c>
      <c r="H701" s="1">
        <v>43165</v>
      </c>
      <c r="I701" s="1">
        <v>43169</v>
      </c>
      <c r="J701">
        <v>4</v>
      </c>
    </row>
    <row r="702" spans="1:10" x14ac:dyDescent="0.25">
      <c r="A702">
        <v>107134</v>
      </c>
      <c r="B702">
        <v>985245</v>
      </c>
      <c r="C702" t="s">
        <v>13</v>
      </c>
      <c r="D702">
        <v>549</v>
      </c>
      <c r="E702">
        <v>2745</v>
      </c>
      <c r="F702">
        <v>1372.5</v>
      </c>
      <c r="G702">
        <v>1372.5</v>
      </c>
      <c r="H702" s="1">
        <v>43165</v>
      </c>
      <c r="I702" s="1">
        <v>43169</v>
      </c>
      <c r="J702">
        <v>4</v>
      </c>
    </row>
    <row r="703" spans="1:10" x14ac:dyDescent="0.25">
      <c r="A703">
        <v>437832</v>
      </c>
      <c r="B703">
        <v>152689</v>
      </c>
      <c r="C703" t="s">
        <v>11</v>
      </c>
      <c r="D703">
        <v>456</v>
      </c>
      <c r="E703">
        <v>2280</v>
      </c>
      <c r="F703">
        <v>1140</v>
      </c>
      <c r="G703">
        <v>1140</v>
      </c>
      <c r="H703" s="1">
        <v>43164</v>
      </c>
      <c r="I703" s="1">
        <v>43169</v>
      </c>
      <c r="J703">
        <v>5</v>
      </c>
    </row>
    <row r="704" spans="1:10" x14ac:dyDescent="0.25">
      <c r="A704">
        <v>765317</v>
      </c>
      <c r="B704">
        <v>152689</v>
      </c>
      <c r="C704" t="s">
        <v>11</v>
      </c>
      <c r="D704">
        <v>646</v>
      </c>
      <c r="E704">
        <v>3230</v>
      </c>
      <c r="F704">
        <v>1615</v>
      </c>
      <c r="G704">
        <v>1615</v>
      </c>
      <c r="H704" s="1">
        <v>43163</v>
      </c>
      <c r="I704" s="1">
        <v>43168</v>
      </c>
      <c r="J704">
        <v>5</v>
      </c>
    </row>
    <row r="705" spans="1:10" x14ac:dyDescent="0.25">
      <c r="A705">
        <v>299912</v>
      </c>
      <c r="B705">
        <v>452584</v>
      </c>
      <c r="C705" t="s">
        <v>12</v>
      </c>
      <c r="D705">
        <v>426</v>
      </c>
      <c r="E705">
        <v>2130</v>
      </c>
      <c r="F705">
        <v>1065</v>
      </c>
      <c r="G705">
        <v>1065</v>
      </c>
      <c r="H705" s="1">
        <v>43164</v>
      </c>
      <c r="I705" s="1">
        <v>43166</v>
      </c>
      <c r="J705">
        <v>2</v>
      </c>
    </row>
    <row r="706" spans="1:10" x14ac:dyDescent="0.25">
      <c r="A706">
        <v>882968</v>
      </c>
      <c r="B706">
        <v>985245</v>
      </c>
      <c r="C706" t="s">
        <v>13</v>
      </c>
      <c r="D706">
        <v>739</v>
      </c>
      <c r="E706">
        <v>3695</v>
      </c>
      <c r="F706">
        <v>1847.5</v>
      </c>
      <c r="G706">
        <v>1847.5</v>
      </c>
      <c r="H706" s="1">
        <v>43162</v>
      </c>
      <c r="I706" s="1">
        <v>43166</v>
      </c>
      <c r="J706">
        <v>4</v>
      </c>
    </row>
    <row r="707" spans="1:10" x14ac:dyDescent="0.25">
      <c r="A707">
        <v>454663</v>
      </c>
      <c r="B707">
        <v>152689</v>
      </c>
      <c r="C707" t="s">
        <v>11</v>
      </c>
      <c r="D707">
        <v>507</v>
      </c>
      <c r="E707">
        <v>2535</v>
      </c>
      <c r="F707">
        <v>1267.5</v>
      </c>
      <c r="G707">
        <v>1267.5</v>
      </c>
      <c r="H707" s="1">
        <v>43160</v>
      </c>
      <c r="I707" s="1">
        <v>43165</v>
      </c>
      <c r="J707">
        <v>5</v>
      </c>
    </row>
    <row r="708" spans="1:10" x14ac:dyDescent="0.25">
      <c r="A708">
        <v>877322</v>
      </c>
      <c r="B708">
        <v>985245</v>
      </c>
      <c r="C708" t="s">
        <v>13</v>
      </c>
      <c r="D708">
        <v>956</v>
      </c>
      <c r="E708">
        <v>4780</v>
      </c>
      <c r="F708">
        <v>2390</v>
      </c>
      <c r="G708">
        <v>2390</v>
      </c>
      <c r="H708" s="1">
        <v>43160</v>
      </c>
      <c r="I708" s="1">
        <v>43164</v>
      </c>
      <c r="J708">
        <v>4</v>
      </c>
    </row>
    <row r="709" spans="1:10" x14ac:dyDescent="0.25">
      <c r="A709">
        <v>540176</v>
      </c>
      <c r="B709">
        <v>152689</v>
      </c>
      <c r="C709" t="s">
        <v>11</v>
      </c>
      <c r="D709">
        <v>833</v>
      </c>
      <c r="E709">
        <v>4165</v>
      </c>
      <c r="F709">
        <v>2082.5</v>
      </c>
      <c r="G709">
        <v>2082.5</v>
      </c>
      <c r="H709" s="1">
        <v>43159</v>
      </c>
      <c r="I709" s="1">
        <v>43164</v>
      </c>
      <c r="J709">
        <v>5</v>
      </c>
    </row>
    <row r="710" spans="1:10" x14ac:dyDescent="0.25">
      <c r="A710">
        <v>108204</v>
      </c>
      <c r="B710">
        <v>452584</v>
      </c>
      <c r="C710" t="s">
        <v>12</v>
      </c>
      <c r="D710">
        <v>453</v>
      </c>
      <c r="E710">
        <v>2265</v>
      </c>
      <c r="F710">
        <v>1132.5</v>
      </c>
      <c r="G710">
        <v>1132.5</v>
      </c>
      <c r="H710" s="1">
        <v>43161</v>
      </c>
      <c r="I710" s="1">
        <v>43163</v>
      </c>
      <c r="J710">
        <v>2</v>
      </c>
    </row>
    <row r="711" spans="1:10" x14ac:dyDescent="0.25">
      <c r="A711">
        <v>314620</v>
      </c>
      <c r="B711">
        <v>325698</v>
      </c>
      <c r="C711" t="s">
        <v>15</v>
      </c>
      <c r="D711">
        <v>530</v>
      </c>
      <c r="E711">
        <v>2650</v>
      </c>
      <c r="F711">
        <v>1325</v>
      </c>
      <c r="G711">
        <v>1325</v>
      </c>
      <c r="H711" s="1">
        <v>43161</v>
      </c>
      <c r="I711" s="1">
        <v>43163</v>
      </c>
      <c r="J711">
        <v>2</v>
      </c>
    </row>
    <row r="712" spans="1:10" x14ac:dyDescent="0.25">
      <c r="A712">
        <v>494699</v>
      </c>
      <c r="B712">
        <v>785432</v>
      </c>
      <c r="C712" t="s">
        <v>14</v>
      </c>
      <c r="D712">
        <v>440</v>
      </c>
      <c r="E712">
        <v>2200</v>
      </c>
      <c r="F712">
        <v>1100</v>
      </c>
      <c r="G712">
        <v>1100</v>
      </c>
      <c r="H712" s="1">
        <v>43159</v>
      </c>
      <c r="I712" s="1">
        <v>43163</v>
      </c>
      <c r="J712">
        <v>4</v>
      </c>
    </row>
    <row r="713" spans="1:10" x14ac:dyDescent="0.25">
      <c r="A713">
        <v>362028</v>
      </c>
      <c r="B713">
        <v>325698</v>
      </c>
      <c r="C713" t="s">
        <v>15</v>
      </c>
      <c r="D713">
        <v>824</v>
      </c>
      <c r="E713">
        <v>4120</v>
      </c>
      <c r="F713">
        <v>2060</v>
      </c>
      <c r="G713">
        <v>2060</v>
      </c>
      <c r="H713" s="1">
        <v>43160</v>
      </c>
      <c r="I713" s="1">
        <v>43162</v>
      </c>
      <c r="J713">
        <v>2</v>
      </c>
    </row>
    <row r="714" spans="1:10" x14ac:dyDescent="0.25">
      <c r="A714">
        <v>493977</v>
      </c>
      <c r="B714">
        <v>325698</v>
      </c>
      <c r="C714" t="s">
        <v>15</v>
      </c>
      <c r="D714">
        <v>547</v>
      </c>
      <c r="E714">
        <v>2735</v>
      </c>
      <c r="F714">
        <v>1367.5</v>
      </c>
      <c r="G714">
        <v>1367.5</v>
      </c>
      <c r="H714" s="1">
        <v>43159</v>
      </c>
      <c r="I714" s="1">
        <v>43162</v>
      </c>
      <c r="J714">
        <v>3</v>
      </c>
    </row>
    <row r="715" spans="1:10" x14ac:dyDescent="0.25">
      <c r="A715">
        <v>558569</v>
      </c>
      <c r="B715">
        <v>785432</v>
      </c>
      <c r="C715" t="s">
        <v>14</v>
      </c>
      <c r="D715">
        <v>511</v>
      </c>
      <c r="E715">
        <v>2555</v>
      </c>
      <c r="F715">
        <v>1277.5</v>
      </c>
      <c r="G715">
        <v>1277.5</v>
      </c>
      <c r="H715" s="1">
        <v>43158</v>
      </c>
      <c r="I715" s="1">
        <v>43162</v>
      </c>
      <c r="J715">
        <v>4</v>
      </c>
    </row>
    <row r="716" spans="1:10" x14ac:dyDescent="0.25">
      <c r="A716">
        <v>455328</v>
      </c>
      <c r="B716">
        <v>152689</v>
      </c>
      <c r="C716" t="s">
        <v>11</v>
      </c>
      <c r="D716">
        <v>497</v>
      </c>
      <c r="E716">
        <v>2485</v>
      </c>
      <c r="F716">
        <v>1242.5</v>
      </c>
      <c r="G716">
        <v>1242.5</v>
      </c>
      <c r="H716" s="1">
        <v>43157</v>
      </c>
      <c r="I716" s="1">
        <v>43162</v>
      </c>
      <c r="J716">
        <v>5</v>
      </c>
    </row>
    <row r="717" spans="1:10" x14ac:dyDescent="0.25">
      <c r="A717">
        <v>424485</v>
      </c>
      <c r="B717">
        <v>152689</v>
      </c>
      <c r="C717" t="s">
        <v>11</v>
      </c>
      <c r="D717">
        <v>204</v>
      </c>
      <c r="E717">
        <v>1020</v>
      </c>
      <c r="F717">
        <v>510</v>
      </c>
      <c r="G717">
        <v>510</v>
      </c>
      <c r="H717" s="1">
        <v>43157</v>
      </c>
      <c r="I717" s="1">
        <v>43162</v>
      </c>
      <c r="J717">
        <v>5</v>
      </c>
    </row>
    <row r="718" spans="1:10" x14ac:dyDescent="0.25">
      <c r="A718">
        <v>328176</v>
      </c>
      <c r="B718">
        <v>985245</v>
      </c>
      <c r="C718" t="s">
        <v>13</v>
      </c>
      <c r="D718">
        <v>714</v>
      </c>
      <c r="E718">
        <v>3570</v>
      </c>
      <c r="F718">
        <v>1785</v>
      </c>
      <c r="G718">
        <v>1785</v>
      </c>
      <c r="H718" s="1">
        <v>43157</v>
      </c>
      <c r="I718" s="1">
        <v>43161</v>
      </c>
      <c r="J718">
        <v>4</v>
      </c>
    </row>
    <row r="719" spans="1:10" x14ac:dyDescent="0.25">
      <c r="A719">
        <v>645799</v>
      </c>
      <c r="B719">
        <v>325698</v>
      </c>
      <c r="C719" t="s">
        <v>15</v>
      </c>
      <c r="D719">
        <v>901</v>
      </c>
      <c r="E719">
        <v>4505</v>
      </c>
      <c r="F719">
        <v>2252.5</v>
      </c>
      <c r="G719">
        <v>2252.5</v>
      </c>
      <c r="H719" s="1">
        <v>43158</v>
      </c>
      <c r="I719" s="1">
        <v>43160</v>
      </c>
      <c r="J719">
        <v>2</v>
      </c>
    </row>
    <row r="720" spans="1:10" x14ac:dyDescent="0.25">
      <c r="A720">
        <v>616425</v>
      </c>
      <c r="B720">
        <v>325698</v>
      </c>
      <c r="C720" t="s">
        <v>15</v>
      </c>
      <c r="D720">
        <v>485</v>
      </c>
      <c r="E720">
        <v>2425</v>
      </c>
      <c r="F720">
        <v>1212.5</v>
      </c>
      <c r="G720">
        <v>1212.5</v>
      </c>
      <c r="H720" s="1">
        <v>43157</v>
      </c>
      <c r="I720" s="1">
        <v>43160</v>
      </c>
      <c r="J720">
        <v>3</v>
      </c>
    </row>
    <row r="721" spans="1:10" x14ac:dyDescent="0.25">
      <c r="A721">
        <v>567191</v>
      </c>
      <c r="B721">
        <v>985245</v>
      </c>
      <c r="C721" t="s">
        <v>13</v>
      </c>
      <c r="D721">
        <v>396</v>
      </c>
      <c r="E721">
        <v>1980</v>
      </c>
      <c r="F721">
        <v>990</v>
      </c>
      <c r="G721">
        <v>990</v>
      </c>
      <c r="H721" s="1">
        <v>43156</v>
      </c>
      <c r="I721" s="1">
        <v>43159</v>
      </c>
      <c r="J721">
        <v>3</v>
      </c>
    </row>
    <row r="722" spans="1:10" x14ac:dyDescent="0.25">
      <c r="A722">
        <v>710159</v>
      </c>
      <c r="B722">
        <v>985245</v>
      </c>
      <c r="C722" t="s">
        <v>13</v>
      </c>
      <c r="D722">
        <v>68</v>
      </c>
      <c r="E722">
        <v>340</v>
      </c>
      <c r="F722">
        <v>170</v>
      </c>
      <c r="G722">
        <v>170</v>
      </c>
      <c r="H722" s="1">
        <v>43155</v>
      </c>
      <c r="I722" s="1">
        <v>43159</v>
      </c>
      <c r="J722">
        <v>4</v>
      </c>
    </row>
    <row r="723" spans="1:10" x14ac:dyDescent="0.25">
      <c r="A723">
        <v>939494</v>
      </c>
      <c r="B723">
        <v>985245</v>
      </c>
      <c r="C723" t="s">
        <v>13</v>
      </c>
      <c r="D723">
        <v>536</v>
      </c>
      <c r="E723">
        <v>2680</v>
      </c>
      <c r="F723">
        <v>1340</v>
      </c>
      <c r="G723">
        <v>1340</v>
      </c>
      <c r="H723" s="1">
        <v>43155</v>
      </c>
      <c r="I723" s="1">
        <v>43159</v>
      </c>
      <c r="J723">
        <v>4</v>
      </c>
    </row>
    <row r="724" spans="1:10" x14ac:dyDescent="0.25">
      <c r="A724">
        <v>546211</v>
      </c>
      <c r="B724">
        <v>152689</v>
      </c>
      <c r="C724" t="s">
        <v>11</v>
      </c>
      <c r="D724">
        <v>918</v>
      </c>
      <c r="E724">
        <v>4590</v>
      </c>
      <c r="F724">
        <v>2295</v>
      </c>
      <c r="G724">
        <v>2295</v>
      </c>
      <c r="H724" s="1">
        <v>43154</v>
      </c>
      <c r="I724" s="1">
        <v>43159</v>
      </c>
      <c r="J724">
        <v>5</v>
      </c>
    </row>
    <row r="725" spans="1:10" x14ac:dyDescent="0.25">
      <c r="A725">
        <v>790375</v>
      </c>
      <c r="B725">
        <v>325698</v>
      </c>
      <c r="C725" t="s">
        <v>15</v>
      </c>
      <c r="D725">
        <v>682</v>
      </c>
      <c r="E725">
        <v>3410</v>
      </c>
      <c r="F725">
        <v>1705</v>
      </c>
      <c r="G725">
        <v>1705</v>
      </c>
      <c r="H725" s="1">
        <v>43156</v>
      </c>
      <c r="I725" s="1">
        <v>43158</v>
      </c>
      <c r="J725">
        <v>2</v>
      </c>
    </row>
    <row r="726" spans="1:10" x14ac:dyDescent="0.25">
      <c r="A726">
        <v>580883</v>
      </c>
      <c r="B726">
        <v>325698</v>
      </c>
      <c r="C726" t="s">
        <v>15</v>
      </c>
      <c r="D726">
        <v>378</v>
      </c>
      <c r="E726">
        <v>1890</v>
      </c>
      <c r="F726">
        <v>945</v>
      </c>
      <c r="G726">
        <v>945</v>
      </c>
      <c r="H726" s="1">
        <v>43156</v>
      </c>
      <c r="I726" s="1">
        <v>43158</v>
      </c>
      <c r="J726">
        <v>2</v>
      </c>
    </row>
    <row r="727" spans="1:10" x14ac:dyDescent="0.25">
      <c r="A727">
        <v>815823</v>
      </c>
      <c r="B727">
        <v>325698</v>
      </c>
      <c r="C727" t="s">
        <v>15</v>
      </c>
      <c r="D727">
        <v>630</v>
      </c>
      <c r="E727">
        <v>3150</v>
      </c>
      <c r="F727">
        <v>1575</v>
      </c>
      <c r="G727">
        <v>1575</v>
      </c>
      <c r="H727" s="1">
        <v>43155</v>
      </c>
      <c r="I727" s="1">
        <v>43158</v>
      </c>
      <c r="J727">
        <v>3</v>
      </c>
    </row>
    <row r="728" spans="1:10" x14ac:dyDescent="0.25">
      <c r="A728">
        <v>352924</v>
      </c>
      <c r="B728">
        <v>785432</v>
      </c>
      <c r="C728" t="s">
        <v>14</v>
      </c>
      <c r="D728">
        <v>641</v>
      </c>
      <c r="E728">
        <v>3205</v>
      </c>
      <c r="F728">
        <v>1602.5</v>
      </c>
      <c r="G728">
        <v>1602.5</v>
      </c>
      <c r="H728" s="1">
        <v>43154</v>
      </c>
      <c r="I728" s="1">
        <v>43158</v>
      </c>
      <c r="J728">
        <v>4</v>
      </c>
    </row>
    <row r="729" spans="1:10" x14ac:dyDescent="0.25">
      <c r="A729">
        <v>317414</v>
      </c>
      <c r="B729">
        <v>452584</v>
      </c>
      <c r="C729" t="s">
        <v>12</v>
      </c>
      <c r="D729">
        <v>919</v>
      </c>
      <c r="E729">
        <v>4595</v>
      </c>
      <c r="F729">
        <v>2297.5</v>
      </c>
      <c r="G729">
        <v>2297.5</v>
      </c>
      <c r="H729" s="1">
        <v>43155</v>
      </c>
      <c r="I729" s="1">
        <v>43157</v>
      </c>
      <c r="J729">
        <v>2</v>
      </c>
    </row>
    <row r="730" spans="1:10" x14ac:dyDescent="0.25">
      <c r="A730">
        <v>452675</v>
      </c>
      <c r="B730">
        <v>985245</v>
      </c>
      <c r="C730" t="s">
        <v>13</v>
      </c>
      <c r="D730">
        <v>999</v>
      </c>
      <c r="E730">
        <v>4995</v>
      </c>
      <c r="F730">
        <v>2497.5</v>
      </c>
      <c r="G730">
        <v>2497.5</v>
      </c>
      <c r="H730" s="1">
        <v>43154</v>
      </c>
      <c r="I730" s="1">
        <v>43157</v>
      </c>
      <c r="J730">
        <v>3</v>
      </c>
    </row>
    <row r="731" spans="1:10" x14ac:dyDescent="0.25">
      <c r="A731">
        <v>847828</v>
      </c>
      <c r="B731">
        <v>152689</v>
      </c>
      <c r="C731" t="s">
        <v>11</v>
      </c>
      <c r="D731">
        <v>746</v>
      </c>
      <c r="E731">
        <v>3730</v>
      </c>
      <c r="F731">
        <v>1865</v>
      </c>
      <c r="G731">
        <v>1865</v>
      </c>
      <c r="H731" s="1">
        <v>43152</v>
      </c>
      <c r="I731" s="1">
        <v>43157</v>
      </c>
      <c r="J731">
        <v>5</v>
      </c>
    </row>
    <row r="732" spans="1:10" x14ac:dyDescent="0.25">
      <c r="A732">
        <v>460840</v>
      </c>
      <c r="B732">
        <v>152689</v>
      </c>
      <c r="C732" t="s">
        <v>11</v>
      </c>
      <c r="D732">
        <v>325</v>
      </c>
      <c r="E732">
        <v>1625</v>
      </c>
      <c r="F732">
        <v>812.5</v>
      </c>
      <c r="G732">
        <v>812.5</v>
      </c>
      <c r="H732" s="1">
        <v>43152</v>
      </c>
      <c r="I732" s="1">
        <v>43157</v>
      </c>
      <c r="J732">
        <v>5</v>
      </c>
    </row>
    <row r="733" spans="1:10" x14ac:dyDescent="0.25">
      <c r="A733">
        <v>638090</v>
      </c>
      <c r="B733">
        <v>325698</v>
      </c>
      <c r="C733" t="s">
        <v>15</v>
      </c>
      <c r="D733">
        <v>583</v>
      </c>
      <c r="E733">
        <v>2915</v>
      </c>
      <c r="F733">
        <v>1457.5</v>
      </c>
      <c r="G733">
        <v>1457.5</v>
      </c>
      <c r="H733" s="1">
        <v>43154</v>
      </c>
      <c r="I733" s="1">
        <v>43156</v>
      </c>
      <c r="J733">
        <v>2</v>
      </c>
    </row>
    <row r="734" spans="1:10" x14ac:dyDescent="0.25">
      <c r="A734">
        <v>822661</v>
      </c>
      <c r="B734">
        <v>325698</v>
      </c>
      <c r="C734" t="s">
        <v>15</v>
      </c>
      <c r="D734">
        <v>887</v>
      </c>
      <c r="E734">
        <v>4435</v>
      </c>
      <c r="F734">
        <v>2217.5</v>
      </c>
      <c r="G734">
        <v>2217.5</v>
      </c>
      <c r="H734" s="1">
        <v>43153</v>
      </c>
      <c r="I734" s="1">
        <v>43156</v>
      </c>
      <c r="J734">
        <v>3</v>
      </c>
    </row>
    <row r="735" spans="1:10" x14ac:dyDescent="0.25">
      <c r="A735">
        <v>525042</v>
      </c>
      <c r="B735">
        <v>325698</v>
      </c>
      <c r="C735" t="s">
        <v>15</v>
      </c>
      <c r="D735">
        <v>151</v>
      </c>
      <c r="E735">
        <v>755</v>
      </c>
      <c r="F735">
        <v>377.5</v>
      </c>
      <c r="G735">
        <v>377.5</v>
      </c>
      <c r="H735" s="1">
        <v>43153</v>
      </c>
      <c r="I735" s="1">
        <v>43156</v>
      </c>
      <c r="J735">
        <v>3</v>
      </c>
    </row>
    <row r="736" spans="1:10" x14ac:dyDescent="0.25">
      <c r="A736">
        <v>572539</v>
      </c>
      <c r="B736">
        <v>985245</v>
      </c>
      <c r="C736" t="s">
        <v>13</v>
      </c>
      <c r="D736">
        <v>84</v>
      </c>
      <c r="E736">
        <v>420</v>
      </c>
      <c r="F736">
        <v>210</v>
      </c>
      <c r="G736">
        <v>210</v>
      </c>
      <c r="H736" s="1">
        <v>43152</v>
      </c>
      <c r="I736" s="1">
        <v>43156</v>
      </c>
      <c r="J736">
        <v>4</v>
      </c>
    </row>
    <row r="737" spans="1:10" x14ac:dyDescent="0.25">
      <c r="A737">
        <v>874872</v>
      </c>
      <c r="B737">
        <v>985245</v>
      </c>
      <c r="C737" t="s">
        <v>13</v>
      </c>
      <c r="D737">
        <v>68</v>
      </c>
      <c r="E737">
        <v>340</v>
      </c>
      <c r="F737">
        <v>170</v>
      </c>
      <c r="G737">
        <v>170</v>
      </c>
      <c r="H737" s="1">
        <v>43152</v>
      </c>
      <c r="I737" s="1">
        <v>43156</v>
      </c>
      <c r="J737">
        <v>4</v>
      </c>
    </row>
    <row r="738" spans="1:10" x14ac:dyDescent="0.25">
      <c r="A738">
        <v>682239</v>
      </c>
      <c r="B738">
        <v>785432</v>
      </c>
      <c r="C738" t="s">
        <v>14</v>
      </c>
      <c r="D738">
        <v>839</v>
      </c>
      <c r="E738">
        <v>4195</v>
      </c>
      <c r="F738">
        <v>2097.5</v>
      </c>
      <c r="G738">
        <v>2097.5</v>
      </c>
      <c r="H738" s="1">
        <v>43151</v>
      </c>
      <c r="I738" s="1">
        <v>43156</v>
      </c>
      <c r="J738">
        <v>5</v>
      </c>
    </row>
    <row r="739" spans="1:10" x14ac:dyDescent="0.25">
      <c r="A739">
        <v>368063</v>
      </c>
      <c r="B739">
        <v>452584</v>
      </c>
      <c r="C739" t="s">
        <v>12</v>
      </c>
      <c r="D739">
        <v>368</v>
      </c>
      <c r="E739">
        <v>1840</v>
      </c>
      <c r="F739">
        <v>920</v>
      </c>
      <c r="G739">
        <v>920</v>
      </c>
      <c r="H739" s="1">
        <v>43153</v>
      </c>
      <c r="I739" s="1">
        <v>43155</v>
      </c>
      <c r="J739">
        <v>2</v>
      </c>
    </row>
    <row r="740" spans="1:10" x14ac:dyDescent="0.25">
      <c r="A740">
        <v>153486</v>
      </c>
      <c r="B740">
        <v>985245</v>
      </c>
      <c r="C740" t="s">
        <v>13</v>
      </c>
      <c r="D740">
        <v>271</v>
      </c>
      <c r="E740">
        <v>1355</v>
      </c>
      <c r="F740">
        <v>677.5</v>
      </c>
      <c r="G740">
        <v>677.5</v>
      </c>
      <c r="H740" s="1">
        <v>43152</v>
      </c>
      <c r="I740" s="1">
        <v>43155</v>
      </c>
      <c r="J740">
        <v>3</v>
      </c>
    </row>
    <row r="741" spans="1:10" x14ac:dyDescent="0.25">
      <c r="A741">
        <v>304547</v>
      </c>
      <c r="B741">
        <v>985245</v>
      </c>
      <c r="C741" t="s">
        <v>13</v>
      </c>
      <c r="D741">
        <v>323</v>
      </c>
      <c r="E741">
        <v>1615</v>
      </c>
      <c r="F741">
        <v>807.5</v>
      </c>
      <c r="G741">
        <v>807.5</v>
      </c>
      <c r="H741" s="1">
        <v>43150</v>
      </c>
      <c r="I741" s="1">
        <v>43154</v>
      </c>
      <c r="J741">
        <v>4</v>
      </c>
    </row>
    <row r="742" spans="1:10" x14ac:dyDescent="0.25">
      <c r="A742">
        <v>383522</v>
      </c>
      <c r="B742">
        <v>152689</v>
      </c>
      <c r="C742" t="s">
        <v>11</v>
      </c>
      <c r="D742">
        <v>168</v>
      </c>
      <c r="E742">
        <v>840</v>
      </c>
      <c r="F742">
        <v>420</v>
      </c>
      <c r="G742">
        <v>420</v>
      </c>
      <c r="H742" s="1">
        <v>43149</v>
      </c>
      <c r="I742" s="1">
        <v>43154</v>
      </c>
      <c r="J742">
        <v>5</v>
      </c>
    </row>
    <row r="743" spans="1:10" x14ac:dyDescent="0.25">
      <c r="A743">
        <v>606350</v>
      </c>
      <c r="B743">
        <v>452584</v>
      </c>
      <c r="C743" t="s">
        <v>12</v>
      </c>
      <c r="D743">
        <v>824</v>
      </c>
      <c r="E743">
        <v>4120</v>
      </c>
      <c r="F743">
        <v>2060</v>
      </c>
      <c r="G743">
        <v>2060</v>
      </c>
      <c r="H743" s="1">
        <v>43151</v>
      </c>
      <c r="I743" s="1">
        <v>43153</v>
      </c>
      <c r="J743">
        <v>2</v>
      </c>
    </row>
    <row r="744" spans="1:10" x14ac:dyDescent="0.25">
      <c r="A744">
        <v>698262</v>
      </c>
      <c r="B744">
        <v>985245</v>
      </c>
      <c r="C744" t="s">
        <v>13</v>
      </c>
      <c r="D744">
        <v>91</v>
      </c>
      <c r="E744">
        <v>455</v>
      </c>
      <c r="F744">
        <v>227.5</v>
      </c>
      <c r="G744">
        <v>227.5</v>
      </c>
      <c r="H744" s="1">
        <v>43149</v>
      </c>
      <c r="I744" s="1">
        <v>43153</v>
      </c>
      <c r="J744">
        <v>4</v>
      </c>
    </row>
    <row r="745" spans="1:10" x14ac:dyDescent="0.25">
      <c r="A745">
        <v>738057</v>
      </c>
      <c r="B745">
        <v>785432</v>
      </c>
      <c r="C745" t="s">
        <v>14</v>
      </c>
      <c r="D745">
        <v>444</v>
      </c>
      <c r="E745">
        <v>2220</v>
      </c>
      <c r="F745">
        <v>1110</v>
      </c>
      <c r="G745">
        <v>1110</v>
      </c>
      <c r="H745" s="1">
        <v>43148</v>
      </c>
      <c r="I745" s="1">
        <v>43153</v>
      </c>
      <c r="J745">
        <v>5</v>
      </c>
    </row>
    <row r="746" spans="1:10" x14ac:dyDescent="0.25">
      <c r="A746">
        <v>985378</v>
      </c>
      <c r="B746">
        <v>785432</v>
      </c>
      <c r="C746" t="s">
        <v>14</v>
      </c>
      <c r="D746">
        <v>966</v>
      </c>
      <c r="E746">
        <v>4830</v>
      </c>
      <c r="F746">
        <v>2415</v>
      </c>
      <c r="G746">
        <v>2415</v>
      </c>
      <c r="H746" s="1">
        <v>43148</v>
      </c>
      <c r="I746" s="1">
        <v>43153</v>
      </c>
      <c r="J746">
        <v>5</v>
      </c>
    </row>
    <row r="747" spans="1:10" x14ac:dyDescent="0.25">
      <c r="A747">
        <v>985253</v>
      </c>
      <c r="B747">
        <v>152689</v>
      </c>
      <c r="C747" t="s">
        <v>11</v>
      </c>
      <c r="D747">
        <v>185</v>
      </c>
      <c r="E747">
        <v>925</v>
      </c>
      <c r="F747">
        <v>462.5</v>
      </c>
      <c r="G747">
        <v>462.5</v>
      </c>
      <c r="H747" s="1">
        <v>43148</v>
      </c>
      <c r="I747" s="1">
        <v>43153</v>
      </c>
      <c r="J747">
        <v>5</v>
      </c>
    </row>
    <row r="748" spans="1:10" x14ac:dyDescent="0.25">
      <c r="A748">
        <v>106052</v>
      </c>
      <c r="B748">
        <v>325698</v>
      </c>
      <c r="C748" t="s">
        <v>15</v>
      </c>
      <c r="D748">
        <v>482</v>
      </c>
      <c r="E748">
        <v>2410</v>
      </c>
      <c r="F748">
        <v>1205</v>
      </c>
      <c r="G748">
        <v>1205</v>
      </c>
      <c r="H748" s="1">
        <v>43150</v>
      </c>
      <c r="I748" s="1">
        <v>43152</v>
      </c>
      <c r="J748">
        <v>2</v>
      </c>
    </row>
    <row r="749" spans="1:10" x14ac:dyDescent="0.25">
      <c r="A749">
        <v>136953</v>
      </c>
      <c r="B749">
        <v>152689</v>
      </c>
      <c r="C749" t="s">
        <v>11</v>
      </c>
      <c r="D749">
        <v>167</v>
      </c>
      <c r="E749">
        <v>835</v>
      </c>
      <c r="F749">
        <v>417.5</v>
      </c>
      <c r="G749">
        <v>417.5</v>
      </c>
      <c r="H749" s="1">
        <v>43146</v>
      </c>
      <c r="I749" s="1">
        <v>43151</v>
      </c>
      <c r="J749">
        <v>5</v>
      </c>
    </row>
    <row r="750" spans="1:10" x14ac:dyDescent="0.25">
      <c r="A750">
        <v>298345</v>
      </c>
      <c r="B750">
        <v>325698</v>
      </c>
      <c r="C750" t="s">
        <v>15</v>
      </c>
      <c r="D750">
        <v>733</v>
      </c>
      <c r="E750">
        <v>3665</v>
      </c>
      <c r="F750">
        <v>1832.5</v>
      </c>
      <c r="G750">
        <v>1832.5</v>
      </c>
      <c r="H750" s="1">
        <v>43147</v>
      </c>
      <c r="I750" s="1">
        <v>43150</v>
      </c>
      <c r="J750">
        <v>3</v>
      </c>
    </row>
    <row r="751" spans="1:10" x14ac:dyDescent="0.25">
      <c r="A751">
        <v>801595</v>
      </c>
      <c r="B751">
        <v>785432</v>
      </c>
      <c r="C751" t="s">
        <v>14</v>
      </c>
      <c r="D751">
        <v>408</v>
      </c>
      <c r="E751">
        <v>2040</v>
      </c>
      <c r="F751">
        <v>1020</v>
      </c>
      <c r="G751">
        <v>1020</v>
      </c>
      <c r="H751" s="1">
        <v>43145</v>
      </c>
      <c r="I751" s="1">
        <v>43150</v>
      </c>
      <c r="J751">
        <v>5</v>
      </c>
    </row>
    <row r="752" spans="1:10" x14ac:dyDescent="0.25">
      <c r="A752">
        <v>655588</v>
      </c>
      <c r="B752">
        <v>325698</v>
      </c>
      <c r="C752" t="s">
        <v>15</v>
      </c>
      <c r="D752">
        <v>583</v>
      </c>
      <c r="E752">
        <v>2915</v>
      </c>
      <c r="F752">
        <v>1457.5</v>
      </c>
      <c r="G752">
        <v>1457.5</v>
      </c>
      <c r="H752" s="1">
        <v>43147</v>
      </c>
      <c r="I752" s="1">
        <v>43149</v>
      </c>
      <c r="J752">
        <v>2</v>
      </c>
    </row>
    <row r="753" spans="1:10" x14ac:dyDescent="0.25">
      <c r="A753">
        <v>697130</v>
      </c>
      <c r="B753">
        <v>325698</v>
      </c>
      <c r="C753" t="s">
        <v>15</v>
      </c>
      <c r="D753">
        <v>60</v>
      </c>
      <c r="E753">
        <v>300</v>
      </c>
      <c r="F753">
        <v>150</v>
      </c>
      <c r="G753">
        <v>150</v>
      </c>
      <c r="H753" s="1">
        <v>43146</v>
      </c>
      <c r="I753" s="1">
        <v>43149</v>
      </c>
      <c r="J753">
        <v>3</v>
      </c>
    </row>
    <row r="754" spans="1:10" x14ac:dyDescent="0.25">
      <c r="A754">
        <v>832283</v>
      </c>
      <c r="B754">
        <v>785432</v>
      </c>
      <c r="C754" t="s">
        <v>14</v>
      </c>
      <c r="D754">
        <v>65</v>
      </c>
      <c r="E754">
        <v>325</v>
      </c>
      <c r="F754">
        <v>162.5</v>
      </c>
      <c r="G754">
        <v>162.5</v>
      </c>
      <c r="H754" s="1">
        <v>43145</v>
      </c>
      <c r="I754" s="1">
        <v>43149</v>
      </c>
      <c r="J754">
        <v>4</v>
      </c>
    </row>
    <row r="755" spans="1:10" x14ac:dyDescent="0.25">
      <c r="A755">
        <v>416364</v>
      </c>
      <c r="B755">
        <v>325698</v>
      </c>
      <c r="C755" t="s">
        <v>15</v>
      </c>
      <c r="D755">
        <v>838</v>
      </c>
      <c r="E755">
        <v>4190</v>
      </c>
      <c r="F755">
        <v>2095</v>
      </c>
      <c r="G755">
        <v>2095</v>
      </c>
      <c r="H755" s="1">
        <v>43145</v>
      </c>
      <c r="I755" s="1">
        <v>43147</v>
      </c>
      <c r="J755">
        <v>2</v>
      </c>
    </row>
    <row r="756" spans="1:10" x14ac:dyDescent="0.25">
      <c r="A756">
        <v>589088</v>
      </c>
      <c r="B756">
        <v>985245</v>
      </c>
      <c r="C756" t="s">
        <v>13</v>
      </c>
      <c r="D756">
        <v>149</v>
      </c>
      <c r="E756">
        <v>745</v>
      </c>
      <c r="F756">
        <v>372.5</v>
      </c>
      <c r="G756">
        <v>372.5</v>
      </c>
      <c r="H756" s="1">
        <v>43143</v>
      </c>
      <c r="I756" s="1">
        <v>43147</v>
      </c>
      <c r="J756">
        <v>4</v>
      </c>
    </row>
    <row r="757" spans="1:10" x14ac:dyDescent="0.25">
      <c r="A757">
        <v>533629</v>
      </c>
      <c r="B757">
        <v>785432</v>
      </c>
      <c r="C757" t="s">
        <v>14</v>
      </c>
      <c r="D757">
        <v>598</v>
      </c>
      <c r="E757">
        <v>2990</v>
      </c>
      <c r="F757">
        <v>1495</v>
      </c>
      <c r="G757">
        <v>1495</v>
      </c>
      <c r="H757" s="1">
        <v>43142</v>
      </c>
      <c r="I757" s="1">
        <v>43147</v>
      </c>
      <c r="J757">
        <v>5</v>
      </c>
    </row>
    <row r="758" spans="1:10" x14ac:dyDescent="0.25">
      <c r="A758">
        <v>668385</v>
      </c>
      <c r="B758">
        <v>152689</v>
      </c>
      <c r="C758" t="s">
        <v>11</v>
      </c>
      <c r="D758">
        <v>70</v>
      </c>
      <c r="E758">
        <v>350</v>
      </c>
      <c r="F758">
        <v>175</v>
      </c>
      <c r="G758">
        <v>175</v>
      </c>
      <c r="H758" s="1">
        <v>43142</v>
      </c>
      <c r="I758" s="1">
        <v>43147</v>
      </c>
      <c r="J758">
        <v>5</v>
      </c>
    </row>
    <row r="759" spans="1:10" x14ac:dyDescent="0.25">
      <c r="A759">
        <v>490039</v>
      </c>
      <c r="B759">
        <v>325698</v>
      </c>
      <c r="C759" t="s">
        <v>15</v>
      </c>
      <c r="D759">
        <v>550</v>
      </c>
      <c r="E759">
        <v>2750</v>
      </c>
      <c r="F759">
        <v>1375</v>
      </c>
      <c r="G759">
        <v>1375</v>
      </c>
      <c r="H759" s="1">
        <v>43143</v>
      </c>
      <c r="I759" s="1">
        <v>43145</v>
      </c>
      <c r="J759">
        <v>2</v>
      </c>
    </row>
    <row r="760" spans="1:10" x14ac:dyDescent="0.25">
      <c r="A760">
        <v>469137</v>
      </c>
      <c r="B760">
        <v>325698</v>
      </c>
      <c r="C760" t="s">
        <v>15</v>
      </c>
      <c r="D760">
        <v>794</v>
      </c>
      <c r="E760">
        <v>3970</v>
      </c>
      <c r="F760">
        <v>1985</v>
      </c>
      <c r="G760">
        <v>1985</v>
      </c>
      <c r="H760" s="1">
        <v>43143</v>
      </c>
      <c r="I760" s="1">
        <v>43145</v>
      </c>
      <c r="J760">
        <v>2</v>
      </c>
    </row>
    <row r="761" spans="1:10" x14ac:dyDescent="0.25">
      <c r="A761">
        <v>714217</v>
      </c>
      <c r="B761">
        <v>785432</v>
      </c>
      <c r="C761" t="s">
        <v>14</v>
      </c>
      <c r="D761">
        <v>346</v>
      </c>
      <c r="E761">
        <v>1730</v>
      </c>
      <c r="F761">
        <v>865</v>
      </c>
      <c r="G761">
        <v>865</v>
      </c>
      <c r="H761" s="1">
        <v>43140</v>
      </c>
      <c r="I761" s="1">
        <v>43145</v>
      </c>
      <c r="J761">
        <v>5</v>
      </c>
    </row>
    <row r="762" spans="1:10" x14ac:dyDescent="0.25">
      <c r="A762">
        <v>411170</v>
      </c>
      <c r="B762">
        <v>152689</v>
      </c>
      <c r="C762" t="s">
        <v>11</v>
      </c>
      <c r="D762">
        <v>757</v>
      </c>
      <c r="E762">
        <v>3785</v>
      </c>
      <c r="F762">
        <v>1892.5</v>
      </c>
      <c r="G762">
        <v>1892.5</v>
      </c>
      <c r="H762" s="1">
        <v>43140</v>
      </c>
      <c r="I762" s="1">
        <v>43145</v>
      </c>
      <c r="J762">
        <v>5</v>
      </c>
    </row>
    <row r="763" spans="1:10" x14ac:dyDescent="0.25">
      <c r="A763">
        <v>315516</v>
      </c>
      <c r="B763">
        <v>452584</v>
      </c>
      <c r="C763" t="s">
        <v>12</v>
      </c>
      <c r="D763">
        <v>239</v>
      </c>
      <c r="E763">
        <v>1195</v>
      </c>
      <c r="F763">
        <v>597.5</v>
      </c>
      <c r="G763">
        <v>597.5</v>
      </c>
      <c r="H763" s="1">
        <v>43141</v>
      </c>
      <c r="I763" s="1">
        <v>43143</v>
      </c>
      <c r="J763">
        <v>2</v>
      </c>
    </row>
    <row r="764" spans="1:10" x14ac:dyDescent="0.25">
      <c r="A764">
        <v>420196</v>
      </c>
      <c r="B764">
        <v>785432</v>
      </c>
      <c r="C764" t="s">
        <v>14</v>
      </c>
      <c r="D764">
        <v>797</v>
      </c>
      <c r="E764">
        <v>3985</v>
      </c>
      <c r="F764">
        <v>1992.5</v>
      </c>
      <c r="G764">
        <v>1992.5</v>
      </c>
      <c r="H764" s="1">
        <v>43139</v>
      </c>
      <c r="I764" s="1">
        <v>43143</v>
      </c>
      <c r="J764">
        <v>4</v>
      </c>
    </row>
    <row r="765" spans="1:10" x14ac:dyDescent="0.25">
      <c r="A765">
        <v>912732</v>
      </c>
      <c r="B765">
        <v>152689</v>
      </c>
      <c r="C765" t="s">
        <v>11</v>
      </c>
      <c r="D765">
        <v>179</v>
      </c>
      <c r="E765">
        <v>895</v>
      </c>
      <c r="F765">
        <v>447.5</v>
      </c>
      <c r="G765">
        <v>447.5</v>
      </c>
      <c r="H765" s="1">
        <v>43138</v>
      </c>
      <c r="I765" s="1">
        <v>43143</v>
      </c>
      <c r="J765">
        <v>5</v>
      </c>
    </row>
    <row r="766" spans="1:10" x14ac:dyDescent="0.25">
      <c r="A766">
        <v>891302</v>
      </c>
      <c r="B766">
        <v>452584</v>
      </c>
      <c r="C766" t="s">
        <v>12</v>
      </c>
      <c r="D766">
        <v>604</v>
      </c>
      <c r="E766">
        <v>3020</v>
      </c>
      <c r="F766">
        <v>1510</v>
      </c>
      <c r="G766">
        <v>1510</v>
      </c>
      <c r="H766" s="1">
        <v>43139</v>
      </c>
      <c r="I766" s="1">
        <v>43141</v>
      </c>
      <c r="J766">
        <v>2</v>
      </c>
    </row>
    <row r="767" spans="1:10" x14ac:dyDescent="0.25">
      <c r="A767">
        <v>581098</v>
      </c>
      <c r="B767">
        <v>985245</v>
      </c>
      <c r="C767" t="s">
        <v>13</v>
      </c>
      <c r="D767">
        <v>747</v>
      </c>
      <c r="E767">
        <v>3735</v>
      </c>
      <c r="F767">
        <v>1867.5</v>
      </c>
      <c r="G767">
        <v>1867.5</v>
      </c>
      <c r="H767" s="1">
        <v>43137</v>
      </c>
      <c r="I767" s="1">
        <v>43141</v>
      </c>
      <c r="J767">
        <v>4</v>
      </c>
    </row>
    <row r="768" spans="1:10" x14ac:dyDescent="0.25">
      <c r="A768">
        <v>515746</v>
      </c>
      <c r="B768">
        <v>985245</v>
      </c>
      <c r="C768" t="s">
        <v>13</v>
      </c>
      <c r="D768">
        <v>114</v>
      </c>
      <c r="E768">
        <v>570</v>
      </c>
      <c r="F768">
        <v>285</v>
      </c>
      <c r="G768">
        <v>285</v>
      </c>
      <c r="H768" s="1">
        <v>43137</v>
      </c>
      <c r="I768" s="1">
        <v>43141</v>
      </c>
      <c r="J768">
        <v>4</v>
      </c>
    </row>
    <row r="769" spans="1:10" x14ac:dyDescent="0.25">
      <c r="A769">
        <v>790181</v>
      </c>
      <c r="B769">
        <v>785432</v>
      </c>
      <c r="C769" t="s">
        <v>14</v>
      </c>
      <c r="D769">
        <v>788</v>
      </c>
      <c r="E769">
        <v>3940</v>
      </c>
      <c r="F769">
        <v>1970</v>
      </c>
      <c r="G769">
        <v>1970</v>
      </c>
      <c r="H769" s="1">
        <v>43137</v>
      </c>
      <c r="I769" s="1">
        <v>43141</v>
      </c>
      <c r="J769">
        <v>4</v>
      </c>
    </row>
    <row r="770" spans="1:10" x14ac:dyDescent="0.25">
      <c r="A770">
        <v>560867</v>
      </c>
      <c r="B770">
        <v>985245</v>
      </c>
      <c r="C770" t="s">
        <v>13</v>
      </c>
      <c r="D770">
        <v>349</v>
      </c>
      <c r="E770">
        <v>1745</v>
      </c>
      <c r="F770">
        <v>872.5</v>
      </c>
      <c r="G770">
        <v>872.5</v>
      </c>
      <c r="H770" s="1">
        <v>43135</v>
      </c>
      <c r="I770" s="1">
        <v>43139</v>
      </c>
      <c r="J770">
        <v>4</v>
      </c>
    </row>
    <row r="771" spans="1:10" x14ac:dyDescent="0.25">
      <c r="A771">
        <v>662667</v>
      </c>
      <c r="B771">
        <v>152689</v>
      </c>
      <c r="C771" t="s">
        <v>11</v>
      </c>
      <c r="D771">
        <v>431</v>
      </c>
      <c r="E771">
        <v>2155</v>
      </c>
      <c r="F771">
        <v>1077.5</v>
      </c>
      <c r="G771">
        <v>1077.5</v>
      </c>
      <c r="H771" s="1">
        <v>43134</v>
      </c>
      <c r="I771" s="1">
        <v>43139</v>
      </c>
      <c r="J771">
        <v>5</v>
      </c>
    </row>
    <row r="772" spans="1:10" x14ac:dyDescent="0.25">
      <c r="A772">
        <v>523221</v>
      </c>
      <c r="B772">
        <v>452584</v>
      </c>
      <c r="C772" t="s">
        <v>12</v>
      </c>
      <c r="D772">
        <v>118</v>
      </c>
      <c r="E772">
        <v>590</v>
      </c>
      <c r="F772">
        <v>295</v>
      </c>
      <c r="G772">
        <v>295</v>
      </c>
      <c r="H772" s="1">
        <v>43136</v>
      </c>
      <c r="I772" s="1">
        <v>43138</v>
      </c>
      <c r="J772">
        <v>2</v>
      </c>
    </row>
    <row r="773" spans="1:10" x14ac:dyDescent="0.25">
      <c r="A773">
        <v>558041</v>
      </c>
      <c r="B773">
        <v>152689</v>
      </c>
      <c r="C773" t="s">
        <v>11</v>
      </c>
      <c r="D773">
        <v>375</v>
      </c>
      <c r="E773">
        <v>1875</v>
      </c>
      <c r="F773">
        <v>937.5</v>
      </c>
      <c r="G773">
        <v>937.5</v>
      </c>
      <c r="H773" s="1">
        <v>43133</v>
      </c>
      <c r="I773" s="1">
        <v>43138</v>
      </c>
      <c r="J773">
        <v>5</v>
      </c>
    </row>
    <row r="774" spans="1:10" x14ac:dyDescent="0.25">
      <c r="A774">
        <v>340755</v>
      </c>
      <c r="B774">
        <v>452584</v>
      </c>
      <c r="C774" t="s">
        <v>12</v>
      </c>
      <c r="D774">
        <v>477</v>
      </c>
      <c r="E774">
        <v>2385</v>
      </c>
      <c r="F774">
        <v>1192.5</v>
      </c>
      <c r="G774">
        <v>1192.5</v>
      </c>
      <c r="H774" s="1">
        <v>43135</v>
      </c>
      <c r="I774" s="1">
        <v>43137</v>
      </c>
      <c r="J774">
        <v>2</v>
      </c>
    </row>
    <row r="775" spans="1:10" x14ac:dyDescent="0.25">
      <c r="A775">
        <v>403145</v>
      </c>
      <c r="B775">
        <v>785432</v>
      </c>
      <c r="C775" t="s">
        <v>14</v>
      </c>
      <c r="D775">
        <v>472</v>
      </c>
      <c r="E775">
        <v>2360</v>
      </c>
      <c r="F775">
        <v>1180</v>
      </c>
      <c r="G775">
        <v>1180</v>
      </c>
      <c r="H775" s="1">
        <v>43132</v>
      </c>
      <c r="I775" s="1">
        <v>43137</v>
      </c>
      <c r="J775">
        <v>5</v>
      </c>
    </row>
    <row r="776" spans="1:10" x14ac:dyDescent="0.25">
      <c r="A776">
        <v>717225</v>
      </c>
      <c r="B776">
        <v>152689</v>
      </c>
      <c r="C776" t="s">
        <v>11</v>
      </c>
      <c r="D776">
        <v>756</v>
      </c>
      <c r="E776">
        <v>3780</v>
      </c>
      <c r="F776">
        <v>1890</v>
      </c>
      <c r="G776">
        <v>1890</v>
      </c>
      <c r="H776" s="1">
        <v>43132</v>
      </c>
      <c r="I776" s="1">
        <v>43137</v>
      </c>
      <c r="J776">
        <v>5</v>
      </c>
    </row>
    <row r="777" spans="1:10" x14ac:dyDescent="0.25">
      <c r="A777">
        <v>889816</v>
      </c>
      <c r="B777">
        <v>325698</v>
      </c>
      <c r="C777" t="s">
        <v>15</v>
      </c>
      <c r="D777">
        <v>660</v>
      </c>
      <c r="E777">
        <v>3300</v>
      </c>
      <c r="F777">
        <v>1650</v>
      </c>
      <c r="G777">
        <v>1650</v>
      </c>
      <c r="H777" s="1">
        <v>43134</v>
      </c>
      <c r="I777" s="1">
        <v>43136</v>
      </c>
      <c r="J777">
        <v>2</v>
      </c>
    </row>
    <row r="778" spans="1:10" x14ac:dyDescent="0.25">
      <c r="A778">
        <v>182741</v>
      </c>
      <c r="B778">
        <v>325698</v>
      </c>
      <c r="C778" t="s">
        <v>15</v>
      </c>
      <c r="D778">
        <v>751</v>
      </c>
      <c r="E778">
        <v>3755</v>
      </c>
      <c r="F778">
        <v>1877.5</v>
      </c>
      <c r="G778">
        <v>1877.5</v>
      </c>
      <c r="H778" s="1">
        <v>43134</v>
      </c>
      <c r="I778" s="1">
        <v>43136</v>
      </c>
      <c r="J778">
        <v>2</v>
      </c>
    </row>
    <row r="779" spans="1:10" x14ac:dyDescent="0.25">
      <c r="A779">
        <v>415315</v>
      </c>
      <c r="B779">
        <v>985245</v>
      </c>
      <c r="C779" t="s">
        <v>13</v>
      </c>
      <c r="D779">
        <v>340</v>
      </c>
      <c r="E779">
        <v>1700</v>
      </c>
      <c r="F779">
        <v>850</v>
      </c>
      <c r="G779">
        <v>850</v>
      </c>
      <c r="H779" s="1">
        <v>43132</v>
      </c>
      <c r="I779" s="1">
        <v>43136</v>
      </c>
      <c r="J779">
        <v>4</v>
      </c>
    </row>
    <row r="780" spans="1:10" x14ac:dyDescent="0.25">
      <c r="A780">
        <v>948568</v>
      </c>
      <c r="B780">
        <v>785432</v>
      </c>
      <c r="C780" t="s">
        <v>14</v>
      </c>
      <c r="D780">
        <v>346</v>
      </c>
      <c r="E780">
        <v>1730</v>
      </c>
      <c r="F780">
        <v>865</v>
      </c>
      <c r="G780">
        <v>865</v>
      </c>
      <c r="H780" s="1">
        <v>43131</v>
      </c>
      <c r="I780" s="1">
        <v>43136</v>
      </c>
      <c r="J780">
        <v>5</v>
      </c>
    </row>
    <row r="781" spans="1:10" x14ac:dyDescent="0.25">
      <c r="A781">
        <v>601247</v>
      </c>
      <c r="B781">
        <v>152689</v>
      </c>
      <c r="C781" t="s">
        <v>11</v>
      </c>
      <c r="D781">
        <v>116</v>
      </c>
      <c r="E781">
        <v>580</v>
      </c>
      <c r="F781">
        <v>290</v>
      </c>
      <c r="G781">
        <v>290</v>
      </c>
      <c r="H781" s="1">
        <v>43131</v>
      </c>
      <c r="I781" s="1">
        <v>43136</v>
      </c>
      <c r="J781">
        <v>5</v>
      </c>
    </row>
    <row r="782" spans="1:10" x14ac:dyDescent="0.25">
      <c r="A782">
        <v>747754</v>
      </c>
      <c r="B782">
        <v>152689</v>
      </c>
      <c r="C782" t="s">
        <v>11</v>
      </c>
      <c r="D782">
        <v>441</v>
      </c>
      <c r="E782">
        <v>2205</v>
      </c>
      <c r="F782">
        <v>1102.5</v>
      </c>
      <c r="G782">
        <v>1102.5</v>
      </c>
      <c r="H782" s="1">
        <v>43131</v>
      </c>
      <c r="I782" s="1">
        <v>43136</v>
      </c>
      <c r="J782">
        <v>5</v>
      </c>
    </row>
    <row r="783" spans="1:10" x14ac:dyDescent="0.25">
      <c r="A783">
        <v>534987</v>
      </c>
      <c r="B783">
        <v>325698</v>
      </c>
      <c r="C783" t="s">
        <v>15</v>
      </c>
      <c r="D783">
        <v>338</v>
      </c>
      <c r="E783">
        <v>1690</v>
      </c>
      <c r="F783">
        <v>845</v>
      </c>
      <c r="G783">
        <v>845</v>
      </c>
      <c r="H783" s="1">
        <v>43133</v>
      </c>
      <c r="I783" s="1">
        <v>43135</v>
      </c>
      <c r="J783">
        <v>2</v>
      </c>
    </row>
    <row r="784" spans="1:10" x14ac:dyDescent="0.25">
      <c r="A784">
        <v>126686</v>
      </c>
      <c r="B784">
        <v>325698</v>
      </c>
      <c r="C784" t="s">
        <v>15</v>
      </c>
      <c r="D784">
        <v>498</v>
      </c>
      <c r="E784">
        <v>2490</v>
      </c>
      <c r="F784">
        <v>1245</v>
      </c>
      <c r="G784">
        <v>1245</v>
      </c>
      <c r="H784" s="1">
        <v>43133</v>
      </c>
      <c r="I784" s="1">
        <v>43135</v>
      </c>
      <c r="J784">
        <v>2</v>
      </c>
    </row>
    <row r="785" spans="1:10" x14ac:dyDescent="0.25">
      <c r="A785">
        <v>427576</v>
      </c>
      <c r="B785">
        <v>152689</v>
      </c>
      <c r="C785" t="s">
        <v>11</v>
      </c>
      <c r="D785">
        <v>878</v>
      </c>
      <c r="E785">
        <v>4390</v>
      </c>
      <c r="F785">
        <v>2195</v>
      </c>
      <c r="G785">
        <v>2195</v>
      </c>
      <c r="H785" s="1">
        <v>43130</v>
      </c>
      <c r="I785" s="1">
        <v>43135</v>
      </c>
      <c r="J785">
        <v>5</v>
      </c>
    </row>
    <row r="786" spans="1:10" x14ac:dyDescent="0.25">
      <c r="A786">
        <v>199310</v>
      </c>
      <c r="B786">
        <v>152689</v>
      </c>
      <c r="C786" t="s">
        <v>11</v>
      </c>
      <c r="D786">
        <v>724</v>
      </c>
      <c r="E786">
        <v>3620</v>
      </c>
      <c r="F786">
        <v>1810</v>
      </c>
      <c r="G786">
        <v>1810</v>
      </c>
      <c r="H786" s="1">
        <v>43130</v>
      </c>
      <c r="I786" s="1">
        <v>43135</v>
      </c>
      <c r="J786">
        <v>5</v>
      </c>
    </row>
    <row r="787" spans="1:10" x14ac:dyDescent="0.25">
      <c r="A787">
        <v>175961</v>
      </c>
      <c r="B787">
        <v>152689</v>
      </c>
      <c r="C787" t="s">
        <v>11</v>
      </c>
      <c r="D787">
        <v>485</v>
      </c>
      <c r="E787">
        <v>2425</v>
      </c>
      <c r="F787">
        <v>1212.5</v>
      </c>
      <c r="G787">
        <v>1212.5</v>
      </c>
      <c r="H787" s="1">
        <v>43130</v>
      </c>
      <c r="I787" s="1">
        <v>43135</v>
      </c>
      <c r="J787">
        <v>5</v>
      </c>
    </row>
    <row r="788" spans="1:10" x14ac:dyDescent="0.25">
      <c r="A788">
        <v>913358</v>
      </c>
      <c r="B788">
        <v>325698</v>
      </c>
      <c r="C788" t="s">
        <v>15</v>
      </c>
      <c r="D788">
        <v>447</v>
      </c>
      <c r="E788">
        <v>2235</v>
      </c>
      <c r="F788">
        <v>1117.5</v>
      </c>
      <c r="G788">
        <v>1117.5</v>
      </c>
      <c r="H788" s="1">
        <v>43132</v>
      </c>
      <c r="I788" s="1">
        <v>43134</v>
      </c>
      <c r="J788">
        <v>2</v>
      </c>
    </row>
    <row r="789" spans="1:10" x14ac:dyDescent="0.25">
      <c r="A789">
        <v>793529</v>
      </c>
      <c r="B789">
        <v>785432</v>
      </c>
      <c r="C789" t="s">
        <v>14</v>
      </c>
      <c r="D789">
        <v>849</v>
      </c>
      <c r="E789">
        <v>4245</v>
      </c>
      <c r="F789">
        <v>2122.5</v>
      </c>
      <c r="G789">
        <v>2122.5</v>
      </c>
      <c r="H789" s="1">
        <v>43130</v>
      </c>
      <c r="I789" s="1">
        <v>43134</v>
      </c>
      <c r="J789">
        <v>4</v>
      </c>
    </row>
    <row r="790" spans="1:10" x14ac:dyDescent="0.25">
      <c r="A790">
        <v>827284</v>
      </c>
      <c r="B790">
        <v>152689</v>
      </c>
      <c r="C790" t="s">
        <v>11</v>
      </c>
      <c r="D790">
        <v>834</v>
      </c>
      <c r="E790">
        <v>4170</v>
      </c>
      <c r="F790">
        <v>2085</v>
      </c>
      <c r="G790">
        <v>2085</v>
      </c>
      <c r="H790" s="1">
        <v>43129</v>
      </c>
      <c r="I790" s="1">
        <v>43134</v>
      </c>
      <c r="J790">
        <v>5</v>
      </c>
    </row>
    <row r="791" spans="1:10" x14ac:dyDescent="0.25">
      <c r="A791">
        <v>976418</v>
      </c>
      <c r="B791">
        <v>152689</v>
      </c>
      <c r="C791" t="s">
        <v>11</v>
      </c>
      <c r="D791">
        <v>979</v>
      </c>
      <c r="E791">
        <v>4895</v>
      </c>
      <c r="F791">
        <v>2447.5</v>
      </c>
      <c r="G791">
        <v>2447.5</v>
      </c>
      <c r="H791" s="1">
        <v>43127</v>
      </c>
      <c r="I791" s="1">
        <v>43132</v>
      </c>
      <c r="J791">
        <v>5</v>
      </c>
    </row>
    <row r="792" spans="1:10" x14ac:dyDescent="0.25">
      <c r="A792">
        <v>511264</v>
      </c>
      <c r="B792">
        <v>152689</v>
      </c>
      <c r="C792" t="s">
        <v>11</v>
      </c>
      <c r="D792">
        <v>454</v>
      </c>
      <c r="E792">
        <v>2270</v>
      </c>
      <c r="F792">
        <v>1135</v>
      </c>
      <c r="G792">
        <v>1135</v>
      </c>
      <c r="H792" s="1">
        <v>43126</v>
      </c>
      <c r="I792" s="1">
        <v>43131</v>
      </c>
      <c r="J792">
        <v>5</v>
      </c>
    </row>
    <row r="793" spans="1:10" x14ac:dyDescent="0.25">
      <c r="A793">
        <v>410245</v>
      </c>
      <c r="B793">
        <v>152689</v>
      </c>
      <c r="C793" t="s">
        <v>11</v>
      </c>
      <c r="D793">
        <v>521</v>
      </c>
      <c r="E793">
        <v>2605</v>
      </c>
      <c r="F793">
        <v>1302.5</v>
      </c>
      <c r="G793">
        <v>1302.5</v>
      </c>
      <c r="H793" s="1">
        <v>43125</v>
      </c>
      <c r="I793" s="1">
        <v>43131</v>
      </c>
      <c r="J793">
        <v>6</v>
      </c>
    </row>
    <row r="794" spans="1:10" x14ac:dyDescent="0.25">
      <c r="A794">
        <v>807608</v>
      </c>
      <c r="B794">
        <v>985245</v>
      </c>
      <c r="C794" t="s">
        <v>13</v>
      </c>
      <c r="D794">
        <v>771</v>
      </c>
      <c r="E794">
        <v>3855</v>
      </c>
      <c r="F794">
        <v>1927.5</v>
      </c>
      <c r="G794">
        <v>1927.5</v>
      </c>
      <c r="H794" s="1">
        <v>43126</v>
      </c>
      <c r="I794" s="1">
        <v>43130</v>
      </c>
      <c r="J794">
        <v>4</v>
      </c>
    </row>
    <row r="795" spans="1:10" x14ac:dyDescent="0.25">
      <c r="A795">
        <v>241756</v>
      </c>
      <c r="B795">
        <v>785432</v>
      </c>
      <c r="C795" t="s">
        <v>14</v>
      </c>
      <c r="D795">
        <v>527</v>
      </c>
      <c r="E795">
        <v>2635</v>
      </c>
      <c r="F795">
        <v>1317.5</v>
      </c>
      <c r="G795">
        <v>1317.5</v>
      </c>
      <c r="H795" s="1">
        <v>43126</v>
      </c>
      <c r="I795" s="1">
        <v>43130</v>
      </c>
      <c r="J795">
        <v>4</v>
      </c>
    </row>
    <row r="796" spans="1:10" x14ac:dyDescent="0.25">
      <c r="A796">
        <v>798702</v>
      </c>
      <c r="B796">
        <v>785432</v>
      </c>
      <c r="C796" t="s">
        <v>14</v>
      </c>
      <c r="D796">
        <v>122</v>
      </c>
      <c r="E796">
        <v>610</v>
      </c>
      <c r="F796">
        <v>305</v>
      </c>
      <c r="G796">
        <v>305</v>
      </c>
      <c r="H796" s="1">
        <v>43126</v>
      </c>
      <c r="I796" s="1">
        <v>43130</v>
      </c>
      <c r="J796">
        <v>4</v>
      </c>
    </row>
    <row r="797" spans="1:10" x14ac:dyDescent="0.25">
      <c r="A797">
        <v>429061</v>
      </c>
      <c r="B797">
        <v>985245</v>
      </c>
      <c r="C797" t="s">
        <v>13</v>
      </c>
      <c r="D797">
        <v>873</v>
      </c>
      <c r="E797">
        <v>4365</v>
      </c>
      <c r="F797">
        <v>2182.5</v>
      </c>
      <c r="G797">
        <v>2182.5</v>
      </c>
      <c r="H797" s="1">
        <v>43125</v>
      </c>
      <c r="I797" s="1">
        <v>43129</v>
      </c>
      <c r="J797">
        <v>4</v>
      </c>
    </row>
    <row r="798" spans="1:10" x14ac:dyDescent="0.25">
      <c r="A798">
        <v>316453</v>
      </c>
      <c r="B798">
        <v>785432</v>
      </c>
      <c r="C798" t="s">
        <v>14</v>
      </c>
      <c r="D798">
        <v>930</v>
      </c>
      <c r="E798">
        <v>4650</v>
      </c>
      <c r="F798">
        <v>2325</v>
      </c>
      <c r="G798">
        <v>2325</v>
      </c>
      <c r="H798" s="1">
        <v>43123</v>
      </c>
      <c r="I798" s="1">
        <v>43128</v>
      </c>
      <c r="J798">
        <v>5</v>
      </c>
    </row>
    <row r="799" spans="1:10" x14ac:dyDescent="0.25">
      <c r="A799">
        <v>869854</v>
      </c>
      <c r="B799">
        <v>452584</v>
      </c>
      <c r="C799" t="s">
        <v>12</v>
      </c>
      <c r="D799">
        <v>377</v>
      </c>
      <c r="E799">
        <v>1885</v>
      </c>
      <c r="F799">
        <v>942.5</v>
      </c>
      <c r="G799">
        <v>942.5</v>
      </c>
      <c r="H799" s="1">
        <v>43125</v>
      </c>
      <c r="I799" s="1">
        <v>43127</v>
      </c>
      <c r="J799">
        <v>2</v>
      </c>
    </row>
    <row r="800" spans="1:10" x14ac:dyDescent="0.25">
      <c r="A800">
        <v>457134</v>
      </c>
      <c r="B800">
        <v>325698</v>
      </c>
      <c r="C800" t="s">
        <v>15</v>
      </c>
      <c r="D800">
        <v>110</v>
      </c>
      <c r="E800">
        <v>550</v>
      </c>
      <c r="F800">
        <v>275</v>
      </c>
      <c r="G800">
        <v>275</v>
      </c>
      <c r="H800" s="1">
        <v>43124</v>
      </c>
      <c r="I800" s="1">
        <v>43126</v>
      </c>
      <c r="J800">
        <v>2</v>
      </c>
    </row>
    <row r="801" spans="1:10" x14ac:dyDescent="0.25">
      <c r="A801">
        <v>586620</v>
      </c>
      <c r="B801">
        <v>785432</v>
      </c>
      <c r="C801" t="s">
        <v>14</v>
      </c>
      <c r="D801">
        <v>622</v>
      </c>
      <c r="E801">
        <v>3110</v>
      </c>
      <c r="F801">
        <v>1555</v>
      </c>
      <c r="G801">
        <v>1555</v>
      </c>
      <c r="H801" s="1">
        <v>43122</v>
      </c>
      <c r="I801" s="1">
        <v>43126</v>
      </c>
      <c r="J801">
        <v>4</v>
      </c>
    </row>
    <row r="802" spans="1:10" x14ac:dyDescent="0.25">
      <c r="A802">
        <v>544119</v>
      </c>
      <c r="B802">
        <v>452584</v>
      </c>
      <c r="C802" t="s">
        <v>12</v>
      </c>
      <c r="D802">
        <v>58</v>
      </c>
      <c r="E802">
        <v>290</v>
      </c>
      <c r="F802">
        <v>145</v>
      </c>
      <c r="G802">
        <v>145</v>
      </c>
      <c r="H802" s="1">
        <v>43123</v>
      </c>
      <c r="I802" s="1">
        <v>43125</v>
      </c>
      <c r="J802">
        <v>2</v>
      </c>
    </row>
    <row r="803" spans="1:10" x14ac:dyDescent="0.25">
      <c r="A803">
        <v>480689</v>
      </c>
      <c r="B803">
        <v>152689</v>
      </c>
      <c r="C803" t="s">
        <v>11</v>
      </c>
      <c r="D803">
        <v>453</v>
      </c>
      <c r="E803">
        <v>2265</v>
      </c>
      <c r="F803">
        <v>1132.5</v>
      </c>
      <c r="G803">
        <v>1132.5</v>
      </c>
      <c r="H803" s="1">
        <v>43120</v>
      </c>
      <c r="I803" s="1">
        <v>43125</v>
      </c>
      <c r="J803">
        <v>5</v>
      </c>
    </row>
    <row r="804" spans="1:10" x14ac:dyDescent="0.25">
      <c r="A804">
        <v>109588</v>
      </c>
      <c r="B804">
        <v>985245</v>
      </c>
      <c r="C804" t="s">
        <v>13</v>
      </c>
      <c r="D804">
        <v>235</v>
      </c>
      <c r="E804">
        <v>1175</v>
      </c>
      <c r="F804">
        <v>587.5</v>
      </c>
      <c r="G804">
        <v>587.5</v>
      </c>
      <c r="H804" s="1">
        <v>43121</v>
      </c>
      <c r="I804" s="1">
        <v>43124</v>
      </c>
      <c r="J804">
        <v>3</v>
      </c>
    </row>
    <row r="805" spans="1:10" x14ac:dyDescent="0.25">
      <c r="A805">
        <v>984103</v>
      </c>
      <c r="B805">
        <v>985245</v>
      </c>
      <c r="C805" t="s">
        <v>13</v>
      </c>
      <c r="D805">
        <v>811</v>
      </c>
      <c r="E805">
        <v>4055</v>
      </c>
      <c r="F805">
        <v>2027.5</v>
      </c>
      <c r="G805">
        <v>2027.5</v>
      </c>
      <c r="H805" s="1">
        <v>43118</v>
      </c>
      <c r="I805" s="1">
        <v>43122</v>
      </c>
      <c r="J805">
        <v>4</v>
      </c>
    </row>
    <row r="806" spans="1:10" x14ac:dyDescent="0.25">
      <c r="A806">
        <v>324498</v>
      </c>
      <c r="B806">
        <v>985245</v>
      </c>
      <c r="C806" t="s">
        <v>13</v>
      </c>
      <c r="D806">
        <v>606</v>
      </c>
      <c r="E806">
        <v>3030</v>
      </c>
      <c r="F806">
        <v>1515</v>
      </c>
      <c r="G806">
        <v>1515</v>
      </c>
      <c r="H806" s="1">
        <v>43118</v>
      </c>
      <c r="I806" s="1">
        <v>43122</v>
      </c>
      <c r="J806">
        <v>4</v>
      </c>
    </row>
    <row r="807" spans="1:10" x14ac:dyDescent="0.25">
      <c r="A807">
        <v>424069</v>
      </c>
      <c r="B807">
        <v>985245</v>
      </c>
      <c r="C807" t="s">
        <v>13</v>
      </c>
      <c r="D807">
        <v>305</v>
      </c>
      <c r="E807">
        <v>1525</v>
      </c>
      <c r="F807">
        <v>762.5</v>
      </c>
      <c r="G807">
        <v>762.5</v>
      </c>
      <c r="H807" s="1">
        <v>43117</v>
      </c>
      <c r="I807" s="1">
        <v>43121</v>
      </c>
      <c r="J807">
        <v>4</v>
      </c>
    </row>
    <row r="808" spans="1:10" x14ac:dyDescent="0.25">
      <c r="A808">
        <v>429903</v>
      </c>
      <c r="B808">
        <v>152689</v>
      </c>
      <c r="C808" t="s">
        <v>11</v>
      </c>
      <c r="D808">
        <v>408</v>
      </c>
      <c r="E808">
        <v>2040</v>
      </c>
      <c r="F808">
        <v>1020</v>
      </c>
      <c r="G808">
        <v>1020</v>
      </c>
      <c r="H808" s="1">
        <v>43116</v>
      </c>
      <c r="I808" s="1">
        <v>43121</v>
      </c>
      <c r="J808">
        <v>5</v>
      </c>
    </row>
    <row r="809" spans="1:10" x14ac:dyDescent="0.25">
      <c r="A809">
        <v>184979</v>
      </c>
      <c r="B809">
        <v>785432</v>
      </c>
      <c r="C809" t="s">
        <v>14</v>
      </c>
      <c r="D809">
        <v>512</v>
      </c>
      <c r="E809">
        <v>2560</v>
      </c>
      <c r="F809">
        <v>1280</v>
      </c>
      <c r="G809">
        <v>1280</v>
      </c>
      <c r="H809" s="1">
        <v>43115</v>
      </c>
      <c r="I809" s="1">
        <v>43120</v>
      </c>
      <c r="J809">
        <v>5</v>
      </c>
    </row>
    <row r="810" spans="1:10" x14ac:dyDescent="0.25">
      <c r="A810">
        <v>342451</v>
      </c>
      <c r="B810">
        <v>785432</v>
      </c>
      <c r="C810" t="s">
        <v>14</v>
      </c>
      <c r="D810">
        <v>379</v>
      </c>
      <c r="E810">
        <v>1895</v>
      </c>
      <c r="F810">
        <v>947.5</v>
      </c>
      <c r="G810">
        <v>947.5</v>
      </c>
      <c r="H810" s="1">
        <v>43115</v>
      </c>
      <c r="I810" s="1">
        <v>43120</v>
      </c>
      <c r="J810">
        <v>5</v>
      </c>
    </row>
    <row r="811" spans="1:10" x14ac:dyDescent="0.25">
      <c r="A811">
        <v>457689</v>
      </c>
      <c r="B811">
        <v>985245</v>
      </c>
      <c r="C811" t="s">
        <v>13</v>
      </c>
      <c r="D811">
        <v>799</v>
      </c>
      <c r="E811">
        <v>3995</v>
      </c>
      <c r="F811">
        <v>1997.5</v>
      </c>
      <c r="G811">
        <v>1997.5</v>
      </c>
      <c r="H811" s="1">
        <v>43115</v>
      </c>
      <c r="I811" s="1">
        <v>43119</v>
      </c>
      <c r="J811">
        <v>4</v>
      </c>
    </row>
    <row r="812" spans="1:10" x14ac:dyDescent="0.25">
      <c r="A812">
        <v>431445</v>
      </c>
      <c r="B812">
        <v>452584</v>
      </c>
      <c r="C812" t="s">
        <v>12</v>
      </c>
      <c r="D812">
        <v>206</v>
      </c>
      <c r="E812">
        <v>1030</v>
      </c>
      <c r="F812">
        <v>515</v>
      </c>
      <c r="G812">
        <v>515</v>
      </c>
      <c r="H812" s="1">
        <v>43115</v>
      </c>
      <c r="I812" s="1">
        <v>43117</v>
      </c>
      <c r="J812">
        <v>2</v>
      </c>
    </row>
    <row r="813" spans="1:10" x14ac:dyDescent="0.25">
      <c r="A813">
        <v>845335</v>
      </c>
      <c r="B813">
        <v>325698</v>
      </c>
      <c r="C813" t="s">
        <v>15</v>
      </c>
      <c r="D813">
        <v>132</v>
      </c>
      <c r="E813">
        <v>660</v>
      </c>
      <c r="F813">
        <v>330</v>
      </c>
      <c r="G813">
        <v>330</v>
      </c>
      <c r="H813" s="1">
        <v>43115</v>
      </c>
      <c r="I813" s="1">
        <v>43117</v>
      </c>
      <c r="J813">
        <v>2</v>
      </c>
    </row>
    <row r="814" spans="1:10" x14ac:dyDescent="0.25">
      <c r="A814">
        <v>924367</v>
      </c>
      <c r="B814">
        <v>325698</v>
      </c>
      <c r="C814" t="s">
        <v>15</v>
      </c>
      <c r="D814">
        <v>249</v>
      </c>
      <c r="E814">
        <v>1245</v>
      </c>
      <c r="F814">
        <v>622.5</v>
      </c>
      <c r="G814">
        <v>622.5</v>
      </c>
      <c r="H814" s="1">
        <v>43114</v>
      </c>
      <c r="I814" s="1">
        <v>43116</v>
      </c>
      <c r="J814">
        <v>2</v>
      </c>
    </row>
    <row r="815" spans="1:10" x14ac:dyDescent="0.25">
      <c r="A815">
        <v>935917</v>
      </c>
      <c r="B815">
        <v>325698</v>
      </c>
      <c r="C815" t="s">
        <v>15</v>
      </c>
      <c r="D815">
        <v>223</v>
      </c>
      <c r="E815">
        <v>1115</v>
      </c>
      <c r="F815">
        <v>557.5</v>
      </c>
      <c r="G815">
        <v>557.5</v>
      </c>
      <c r="H815" s="1">
        <v>43113</v>
      </c>
      <c r="I815" s="1">
        <v>43116</v>
      </c>
      <c r="J815">
        <v>3</v>
      </c>
    </row>
    <row r="816" spans="1:10" x14ac:dyDescent="0.25">
      <c r="A816">
        <v>385184</v>
      </c>
      <c r="B816">
        <v>985245</v>
      </c>
      <c r="C816" t="s">
        <v>13</v>
      </c>
      <c r="D816">
        <v>839</v>
      </c>
      <c r="E816">
        <v>4195</v>
      </c>
      <c r="F816">
        <v>2097.5</v>
      </c>
      <c r="G816">
        <v>2097.5</v>
      </c>
      <c r="H816" s="1">
        <v>43112</v>
      </c>
      <c r="I816" s="1">
        <v>43115</v>
      </c>
      <c r="J816">
        <v>3</v>
      </c>
    </row>
    <row r="817" spans="1:10" x14ac:dyDescent="0.25">
      <c r="A817">
        <v>758277</v>
      </c>
      <c r="B817">
        <v>152689</v>
      </c>
      <c r="C817" t="s">
        <v>11</v>
      </c>
      <c r="D817">
        <v>467</v>
      </c>
      <c r="E817">
        <v>2335</v>
      </c>
      <c r="F817">
        <v>1167.5</v>
      </c>
      <c r="G817">
        <v>1167.5</v>
      </c>
      <c r="H817" s="1">
        <v>43110</v>
      </c>
      <c r="I817" s="1">
        <v>43115</v>
      </c>
      <c r="J817">
        <v>5</v>
      </c>
    </row>
    <row r="818" spans="1:10" x14ac:dyDescent="0.25">
      <c r="A818">
        <v>221217</v>
      </c>
      <c r="B818">
        <v>152689</v>
      </c>
      <c r="C818" t="s">
        <v>11</v>
      </c>
      <c r="D818">
        <v>265</v>
      </c>
      <c r="E818">
        <v>1325</v>
      </c>
      <c r="F818">
        <v>662.5</v>
      </c>
      <c r="G818">
        <v>662.5</v>
      </c>
      <c r="H818" s="1">
        <v>43110</v>
      </c>
      <c r="I818" s="1">
        <v>43115</v>
      </c>
      <c r="J818">
        <v>5</v>
      </c>
    </row>
    <row r="819" spans="1:10" x14ac:dyDescent="0.25">
      <c r="A819">
        <v>443679</v>
      </c>
      <c r="B819">
        <v>325698</v>
      </c>
      <c r="C819" t="s">
        <v>15</v>
      </c>
      <c r="D819">
        <v>609</v>
      </c>
      <c r="E819">
        <v>3045</v>
      </c>
      <c r="F819">
        <v>1522.5</v>
      </c>
      <c r="G819">
        <v>1522.5</v>
      </c>
      <c r="H819" s="1">
        <v>43112</v>
      </c>
      <c r="I819" s="1">
        <v>43114</v>
      </c>
      <c r="J819">
        <v>2</v>
      </c>
    </row>
    <row r="820" spans="1:10" x14ac:dyDescent="0.25">
      <c r="A820">
        <v>721568</v>
      </c>
      <c r="B820">
        <v>985245</v>
      </c>
      <c r="C820" t="s">
        <v>13</v>
      </c>
      <c r="D820">
        <v>558</v>
      </c>
      <c r="E820">
        <v>2790</v>
      </c>
      <c r="F820">
        <v>1395</v>
      </c>
      <c r="G820">
        <v>1395</v>
      </c>
      <c r="H820" s="1">
        <v>43110</v>
      </c>
      <c r="I820" s="1">
        <v>43114</v>
      </c>
      <c r="J820">
        <v>4</v>
      </c>
    </row>
    <row r="821" spans="1:10" x14ac:dyDescent="0.25">
      <c r="A821">
        <v>568853</v>
      </c>
      <c r="B821">
        <v>985245</v>
      </c>
      <c r="C821" t="s">
        <v>13</v>
      </c>
      <c r="D821">
        <v>749</v>
      </c>
      <c r="E821">
        <v>3745</v>
      </c>
      <c r="F821">
        <v>1872.5</v>
      </c>
      <c r="G821">
        <v>1872.5</v>
      </c>
      <c r="H821" s="1">
        <v>43110</v>
      </c>
      <c r="I821" s="1">
        <v>43114</v>
      </c>
      <c r="J821">
        <v>4</v>
      </c>
    </row>
    <row r="822" spans="1:10" x14ac:dyDescent="0.25">
      <c r="A822">
        <v>185178</v>
      </c>
      <c r="B822">
        <v>985245</v>
      </c>
      <c r="C822" t="s">
        <v>13</v>
      </c>
      <c r="D822">
        <v>899</v>
      </c>
      <c r="E822">
        <v>4495</v>
      </c>
      <c r="F822">
        <v>2247.5</v>
      </c>
      <c r="G822">
        <v>2247.5</v>
      </c>
      <c r="H822" s="1">
        <v>43110</v>
      </c>
      <c r="I822" s="1">
        <v>43114</v>
      </c>
      <c r="J822">
        <v>4</v>
      </c>
    </row>
    <row r="823" spans="1:10" x14ac:dyDescent="0.25">
      <c r="A823">
        <v>306029</v>
      </c>
      <c r="B823">
        <v>152689</v>
      </c>
      <c r="C823" t="s">
        <v>11</v>
      </c>
      <c r="D823">
        <v>711</v>
      </c>
      <c r="E823">
        <v>3555</v>
      </c>
      <c r="F823">
        <v>1777.5</v>
      </c>
      <c r="G823">
        <v>1777.5</v>
      </c>
      <c r="H823" s="1">
        <v>43108</v>
      </c>
      <c r="I823" s="1">
        <v>43113</v>
      </c>
      <c r="J823">
        <v>5</v>
      </c>
    </row>
    <row r="824" spans="1:10" x14ac:dyDescent="0.25">
      <c r="A824">
        <v>650765</v>
      </c>
      <c r="B824">
        <v>452584</v>
      </c>
      <c r="C824" t="s">
        <v>12</v>
      </c>
      <c r="D824">
        <v>667</v>
      </c>
      <c r="E824">
        <v>3335</v>
      </c>
      <c r="F824">
        <v>1667.5</v>
      </c>
      <c r="G824">
        <v>1667.5</v>
      </c>
      <c r="H824" s="1">
        <v>43110</v>
      </c>
      <c r="I824" s="1">
        <v>43112</v>
      </c>
      <c r="J824">
        <v>2</v>
      </c>
    </row>
    <row r="825" spans="1:10" x14ac:dyDescent="0.25">
      <c r="A825">
        <v>777308</v>
      </c>
      <c r="B825">
        <v>325698</v>
      </c>
      <c r="C825" t="s">
        <v>15</v>
      </c>
      <c r="D825">
        <v>945</v>
      </c>
      <c r="E825">
        <v>4725</v>
      </c>
      <c r="F825">
        <v>2362.5</v>
      </c>
      <c r="G825">
        <v>2362.5</v>
      </c>
      <c r="H825" s="1">
        <v>43109</v>
      </c>
      <c r="I825" s="1">
        <v>43112</v>
      </c>
      <c r="J825">
        <v>3</v>
      </c>
    </row>
    <row r="826" spans="1:10" x14ac:dyDescent="0.25">
      <c r="A826">
        <v>323863</v>
      </c>
      <c r="B826">
        <v>985245</v>
      </c>
      <c r="C826" t="s">
        <v>13</v>
      </c>
      <c r="D826">
        <v>463</v>
      </c>
      <c r="E826">
        <v>2315</v>
      </c>
      <c r="F826">
        <v>1157.5</v>
      </c>
      <c r="G826">
        <v>1157.5</v>
      </c>
      <c r="H826" s="1">
        <v>43108</v>
      </c>
      <c r="I826" s="1">
        <v>43112</v>
      </c>
      <c r="J826">
        <v>4</v>
      </c>
    </row>
    <row r="827" spans="1:10" x14ac:dyDescent="0.25">
      <c r="A827">
        <v>863340</v>
      </c>
      <c r="B827">
        <v>152689</v>
      </c>
      <c r="C827" t="s">
        <v>11</v>
      </c>
      <c r="D827">
        <v>369</v>
      </c>
      <c r="E827">
        <v>1845</v>
      </c>
      <c r="F827">
        <v>922.5</v>
      </c>
      <c r="G827">
        <v>922.5</v>
      </c>
      <c r="H827" s="1">
        <v>43107</v>
      </c>
      <c r="I827" s="1">
        <v>43112</v>
      </c>
      <c r="J827">
        <v>5</v>
      </c>
    </row>
    <row r="828" spans="1:10" x14ac:dyDescent="0.25">
      <c r="A828">
        <v>169679</v>
      </c>
      <c r="B828">
        <v>325698</v>
      </c>
      <c r="C828" t="s">
        <v>15</v>
      </c>
      <c r="D828">
        <v>985</v>
      </c>
      <c r="E828">
        <v>4925</v>
      </c>
      <c r="F828">
        <v>2462.5</v>
      </c>
      <c r="G828">
        <v>2462.5</v>
      </c>
      <c r="H828" s="1">
        <v>43109</v>
      </c>
      <c r="I828" s="1">
        <v>43111</v>
      </c>
      <c r="J828">
        <v>2</v>
      </c>
    </row>
    <row r="829" spans="1:10" x14ac:dyDescent="0.25">
      <c r="A829">
        <v>926223</v>
      </c>
      <c r="B829">
        <v>985245</v>
      </c>
      <c r="C829" t="s">
        <v>13</v>
      </c>
      <c r="D829">
        <v>321</v>
      </c>
      <c r="E829">
        <v>1605</v>
      </c>
      <c r="F829">
        <v>802.5</v>
      </c>
      <c r="G829">
        <v>802.5</v>
      </c>
      <c r="H829" s="1">
        <v>43108</v>
      </c>
      <c r="I829" s="1">
        <v>43111</v>
      </c>
      <c r="J829">
        <v>3</v>
      </c>
    </row>
    <row r="830" spans="1:10" x14ac:dyDescent="0.25">
      <c r="A830">
        <v>780185</v>
      </c>
      <c r="B830">
        <v>152689</v>
      </c>
      <c r="C830" t="s">
        <v>11</v>
      </c>
      <c r="D830">
        <v>515</v>
      </c>
      <c r="E830">
        <v>2575</v>
      </c>
      <c r="F830">
        <v>1287.5</v>
      </c>
      <c r="G830">
        <v>1287.5</v>
      </c>
      <c r="H830" s="1">
        <v>43106</v>
      </c>
      <c r="I830" s="1">
        <v>43111</v>
      </c>
      <c r="J830">
        <v>5</v>
      </c>
    </row>
    <row r="831" spans="1:10" x14ac:dyDescent="0.25">
      <c r="A831">
        <v>925121</v>
      </c>
      <c r="B831">
        <v>785432</v>
      </c>
      <c r="C831" t="s">
        <v>14</v>
      </c>
      <c r="D831">
        <v>976</v>
      </c>
      <c r="E831">
        <v>4880</v>
      </c>
      <c r="F831">
        <v>2440</v>
      </c>
      <c r="G831">
        <v>2440</v>
      </c>
      <c r="H831" s="1">
        <v>43105</v>
      </c>
      <c r="I831" s="1">
        <v>43110</v>
      </c>
      <c r="J831">
        <v>5</v>
      </c>
    </row>
    <row r="832" spans="1:10" x14ac:dyDescent="0.25">
      <c r="A832">
        <v>536779</v>
      </c>
      <c r="B832">
        <v>785432</v>
      </c>
      <c r="C832" t="s">
        <v>14</v>
      </c>
      <c r="D832">
        <v>523</v>
      </c>
      <c r="E832">
        <v>2615</v>
      </c>
      <c r="F832">
        <v>1307.5</v>
      </c>
      <c r="G832">
        <v>1307.5</v>
      </c>
      <c r="H832" s="1">
        <v>43105</v>
      </c>
      <c r="I832" s="1">
        <v>43110</v>
      </c>
      <c r="J832">
        <v>5</v>
      </c>
    </row>
    <row r="833" spans="1:10" x14ac:dyDescent="0.25">
      <c r="A833">
        <v>412527</v>
      </c>
      <c r="B833">
        <v>325698</v>
      </c>
      <c r="C833" t="s">
        <v>15</v>
      </c>
      <c r="D833">
        <v>609</v>
      </c>
      <c r="E833">
        <v>3045</v>
      </c>
      <c r="F833">
        <v>1522.5</v>
      </c>
      <c r="G833">
        <v>1522.5</v>
      </c>
      <c r="H833" s="1">
        <v>43107</v>
      </c>
      <c r="I833" s="1">
        <v>43109</v>
      </c>
      <c r="J833">
        <v>2</v>
      </c>
    </row>
    <row r="834" spans="1:10" x14ac:dyDescent="0.25">
      <c r="A834">
        <v>324416</v>
      </c>
      <c r="B834">
        <v>985245</v>
      </c>
      <c r="C834" t="s">
        <v>13</v>
      </c>
      <c r="D834">
        <v>481</v>
      </c>
      <c r="E834">
        <v>2405</v>
      </c>
      <c r="F834">
        <v>1202.5</v>
      </c>
      <c r="G834">
        <v>1202.5</v>
      </c>
      <c r="H834" s="1">
        <v>43104</v>
      </c>
      <c r="I834" s="1">
        <v>43108</v>
      </c>
      <c r="J834">
        <v>4</v>
      </c>
    </row>
    <row r="835" spans="1:10" x14ac:dyDescent="0.25">
      <c r="A835">
        <v>110471</v>
      </c>
      <c r="B835">
        <v>785432</v>
      </c>
      <c r="C835" t="s">
        <v>14</v>
      </c>
      <c r="D835">
        <v>309</v>
      </c>
      <c r="E835">
        <v>1545</v>
      </c>
      <c r="F835">
        <v>772.5</v>
      </c>
      <c r="G835">
        <v>772.5</v>
      </c>
      <c r="H835" s="1">
        <v>43103</v>
      </c>
      <c r="I835" s="1">
        <v>43108</v>
      </c>
      <c r="J835">
        <v>5</v>
      </c>
    </row>
    <row r="836" spans="1:10" x14ac:dyDescent="0.25">
      <c r="A836">
        <v>740321</v>
      </c>
      <c r="B836">
        <v>325698</v>
      </c>
      <c r="C836" t="s">
        <v>15</v>
      </c>
      <c r="D836">
        <v>811</v>
      </c>
      <c r="E836">
        <v>4055</v>
      </c>
      <c r="F836">
        <v>2027.5</v>
      </c>
      <c r="G836">
        <v>2027.5</v>
      </c>
      <c r="H836" s="1">
        <v>43104</v>
      </c>
      <c r="I836" s="1">
        <v>43107</v>
      </c>
      <c r="J836">
        <v>3</v>
      </c>
    </row>
    <row r="837" spans="1:10" x14ac:dyDescent="0.25">
      <c r="A837">
        <v>873217</v>
      </c>
      <c r="B837">
        <v>785432</v>
      </c>
      <c r="C837" t="s">
        <v>14</v>
      </c>
      <c r="D837">
        <v>481</v>
      </c>
      <c r="E837">
        <v>2405</v>
      </c>
      <c r="F837">
        <v>1202.5</v>
      </c>
      <c r="G837">
        <v>1202.5</v>
      </c>
      <c r="H837" s="1">
        <v>43103</v>
      </c>
      <c r="I837" s="1">
        <v>43107</v>
      </c>
      <c r="J837">
        <v>4</v>
      </c>
    </row>
    <row r="838" spans="1:10" x14ac:dyDescent="0.25">
      <c r="A838">
        <v>978055</v>
      </c>
      <c r="B838">
        <v>785432</v>
      </c>
      <c r="C838" t="s">
        <v>14</v>
      </c>
      <c r="D838">
        <v>628</v>
      </c>
      <c r="E838">
        <v>3140</v>
      </c>
      <c r="F838">
        <v>1570</v>
      </c>
      <c r="G838">
        <v>1570</v>
      </c>
      <c r="H838" s="1">
        <v>43102</v>
      </c>
      <c r="I838" s="1">
        <v>43107</v>
      </c>
      <c r="J838">
        <v>5</v>
      </c>
    </row>
    <row r="839" spans="1:10" x14ac:dyDescent="0.25">
      <c r="A839">
        <v>129824</v>
      </c>
      <c r="B839">
        <v>325698</v>
      </c>
      <c r="C839" t="s">
        <v>15</v>
      </c>
      <c r="D839">
        <v>775</v>
      </c>
      <c r="E839">
        <v>3875</v>
      </c>
      <c r="F839">
        <v>1937.5</v>
      </c>
      <c r="G839">
        <v>1937.5</v>
      </c>
      <c r="H839" s="1">
        <v>43104</v>
      </c>
      <c r="I839" s="1">
        <v>43106</v>
      </c>
      <c r="J839">
        <v>2</v>
      </c>
    </row>
    <row r="840" spans="1:10" x14ac:dyDescent="0.25">
      <c r="A840">
        <v>588807</v>
      </c>
      <c r="B840">
        <v>325698</v>
      </c>
      <c r="C840" t="s">
        <v>15</v>
      </c>
      <c r="D840">
        <v>165</v>
      </c>
      <c r="E840">
        <v>825</v>
      </c>
      <c r="F840">
        <v>412.5</v>
      </c>
      <c r="G840">
        <v>412.5</v>
      </c>
      <c r="H840" s="1">
        <v>43103</v>
      </c>
      <c r="I840" s="1">
        <v>43106</v>
      </c>
      <c r="J840">
        <v>3</v>
      </c>
    </row>
    <row r="841" spans="1:10" x14ac:dyDescent="0.25">
      <c r="A841">
        <v>138922</v>
      </c>
      <c r="B841">
        <v>985245</v>
      </c>
      <c r="C841" t="s">
        <v>13</v>
      </c>
      <c r="D841">
        <v>664</v>
      </c>
      <c r="E841">
        <v>3320</v>
      </c>
      <c r="F841">
        <v>1660</v>
      </c>
      <c r="G841">
        <v>1660</v>
      </c>
      <c r="H841" s="1">
        <v>43103</v>
      </c>
      <c r="I841" s="1">
        <v>43106</v>
      </c>
      <c r="J841">
        <v>3</v>
      </c>
    </row>
    <row r="842" spans="1:10" x14ac:dyDescent="0.25">
      <c r="A842">
        <v>229143</v>
      </c>
      <c r="B842">
        <v>152689</v>
      </c>
      <c r="C842" t="s">
        <v>11</v>
      </c>
      <c r="D842">
        <v>763</v>
      </c>
      <c r="E842">
        <v>3815</v>
      </c>
      <c r="F842">
        <v>1907.5</v>
      </c>
      <c r="G842">
        <v>1907.5</v>
      </c>
      <c r="H842" s="1">
        <v>43101</v>
      </c>
      <c r="I842" s="1">
        <v>43106</v>
      </c>
      <c r="J842">
        <v>5</v>
      </c>
    </row>
    <row r="843" spans="1:10" x14ac:dyDescent="0.25">
      <c r="A843">
        <v>925637</v>
      </c>
      <c r="B843">
        <v>985245</v>
      </c>
      <c r="C843" t="s">
        <v>13</v>
      </c>
      <c r="D843">
        <v>497</v>
      </c>
      <c r="E843">
        <v>2485</v>
      </c>
      <c r="F843">
        <v>1242.5</v>
      </c>
      <c r="G843">
        <v>1242.5</v>
      </c>
      <c r="H843" s="1">
        <v>43102</v>
      </c>
      <c r="I843" s="1">
        <v>43105</v>
      </c>
      <c r="J843">
        <v>3</v>
      </c>
    </row>
    <row r="844" spans="1:10" x14ac:dyDescent="0.25">
      <c r="A844">
        <v>301299</v>
      </c>
      <c r="B844">
        <v>325698</v>
      </c>
      <c r="C844" t="s">
        <v>15</v>
      </c>
      <c r="D844">
        <v>495</v>
      </c>
      <c r="E844">
        <v>2475</v>
      </c>
      <c r="F844">
        <v>1237.5</v>
      </c>
      <c r="G844">
        <v>1237.5</v>
      </c>
      <c r="H844" s="1">
        <v>43102</v>
      </c>
      <c r="I844" s="1">
        <v>43104</v>
      </c>
      <c r="J844">
        <v>2</v>
      </c>
    </row>
    <row r="845" spans="1:10" x14ac:dyDescent="0.25">
      <c r="A845">
        <v>664190</v>
      </c>
      <c r="B845">
        <v>985245</v>
      </c>
      <c r="C845" t="s">
        <v>13</v>
      </c>
      <c r="D845">
        <v>380</v>
      </c>
      <c r="E845">
        <v>1900</v>
      </c>
      <c r="F845">
        <v>950</v>
      </c>
      <c r="G845">
        <v>950</v>
      </c>
      <c r="H845" s="1">
        <v>43101</v>
      </c>
      <c r="I845" s="1">
        <v>43104</v>
      </c>
      <c r="J845">
        <v>3</v>
      </c>
    </row>
    <row r="846" spans="1:10" x14ac:dyDescent="0.25">
      <c r="A846">
        <v>140095</v>
      </c>
      <c r="B846">
        <v>452584</v>
      </c>
      <c r="C846" t="s">
        <v>12</v>
      </c>
      <c r="D846">
        <v>661</v>
      </c>
      <c r="E846">
        <v>3305</v>
      </c>
      <c r="F846">
        <v>1652.5</v>
      </c>
      <c r="G846">
        <v>1652.5</v>
      </c>
      <c r="H846" s="1">
        <v>43101</v>
      </c>
      <c r="I846" s="1">
        <v>43103</v>
      </c>
      <c r="J846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AE29-851C-45BF-8593-54FE4592B310}">
  <sheetPr>
    <pageSetUpPr fitToPage="1"/>
  </sheetPr>
  <dimension ref="A1:L44"/>
  <sheetViews>
    <sheetView showGridLines="0" showRowColHeaders="0" tabSelected="1" zoomScale="116" zoomScaleNormal="116" workbookViewId="0">
      <pane ySplit="2" topLeftCell="A3" activePane="bottomLeft" state="frozen"/>
      <selection pane="bottomLeft" activeCell="G8" sqref="G8"/>
    </sheetView>
  </sheetViews>
  <sheetFormatPr defaultRowHeight="13.5" x14ac:dyDescent="0.25"/>
  <cols>
    <col min="1" max="1" width="3.33203125" customWidth="1"/>
    <col min="2" max="2" width="33.33203125" customWidth="1"/>
    <col min="3" max="3" width="16.6640625" customWidth="1"/>
    <col min="4" max="4" width="13.33203125" customWidth="1"/>
    <col min="5" max="5" width="3.33203125" customWidth="1"/>
    <col min="6" max="6" width="33.33203125" customWidth="1"/>
    <col min="7" max="7" width="16.6640625" customWidth="1"/>
    <col min="8" max="8" width="13.33203125" customWidth="1"/>
    <col min="9" max="11" width="16.6640625" customWidth="1"/>
    <col min="12" max="12" width="3.33203125" customWidth="1"/>
  </cols>
  <sheetData>
    <row r="1" spans="1:12" ht="10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5" customHeight="1" x14ac:dyDescent="0.25">
      <c r="A2" s="5"/>
      <c r="B2" s="38" t="s">
        <v>33</v>
      </c>
      <c r="C2" s="39"/>
      <c r="D2" s="39"/>
      <c r="E2" s="39"/>
      <c r="F2" s="39"/>
      <c r="G2" s="39"/>
      <c r="H2" s="39"/>
      <c r="I2" s="4"/>
      <c r="J2" s="4"/>
      <c r="K2" s="4"/>
      <c r="L2" s="5"/>
    </row>
    <row r="3" spans="1:12" ht="1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25" customHeight="1" x14ac:dyDescent="0.25">
      <c r="A4" s="5"/>
      <c r="B4" s="24" t="s">
        <v>17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5" customHeight="1" x14ac:dyDescent="0.25">
      <c r="A5" s="5"/>
      <c r="B5" s="7" t="s">
        <v>16</v>
      </c>
      <c r="C5" s="7" t="s">
        <v>18</v>
      </c>
      <c r="D5" s="9" t="s">
        <v>24</v>
      </c>
      <c r="E5" s="5"/>
      <c r="F5" s="7" t="s">
        <v>4</v>
      </c>
      <c r="G5" s="7" t="s">
        <v>19</v>
      </c>
      <c r="H5" s="35"/>
      <c r="I5" s="5"/>
      <c r="J5" s="5"/>
      <c r="K5" s="5"/>
      <c r="L5" s="5"/>
    </row>
    <row r="6" spans="1:12" ht="35" customHeight="1" x14ac:dyDescent="0.25">
      <c r="A6" s="5"/>
      <c r="B6" s="8">
        <f>SUM(' COOKIES '!E:E)</f>
        <v>2233025</v>
      </c>
      <c r="C6" s="8">
        <f>SUM(' COOKIES '!G:G)</f>
        <v>1116512.5</v>
      </c>
      <c r="D6" s="10">
        <f>C6/B6</f>
        <v>0.5</v>
      </c>
      <c r="E6" s="5"/>
      <c r="F6" s="11">
        <f>SUM(' COOKIES '!D:D)</f>
        <v>446605</v>
      </c>
      <c r="G6" s="11">
        <f>COUNTA(' COOKIES '!A:A)-1</f>
        <v>845</v>
      </c>
      <c r="H6" s="36"/>
      <c r="I6" s="37"/>
      <c r="J6" s="5"/>
      <c r="K6" s="5"/>
      <c r="L6" s="5"/>
    </row>
    <row r="7" spans="1:12" ht="1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25" customHeight="1" x14ac:dyDescent="0.25">
      <c r="A8" s="5"/>
      <c r="B8" s="24" t="s">
        <v>20</v>
      </c>
      <c r="C8" s="5"/>
      <c r="D8" s="5"/>
      <c r="E8" s="5"/>
      <c r="F8" s="24" t="s">
        <v>23</v>
      </c>
      <c r="G8" s="5"/>
      <c r="H8" s="5"/>
      <c r="I8" s="5"/>
      <c r="J8" s="5"/>
      <c r="K8" s="5"/>
      <c r="L8" s="5"/>
    </row>
    <row r="9" spans="1:12" ht="25" customHeight="1" x14ac:dyDescent="0.25">
      <c r="A9" s="5"/>
      <c r="B9" s="12" t="s">
        <v>21</v>
      </c>
      <c r="C9" s="13" t="s">
        <v>5</v>
      </c>
      <c r="D9" s="14" t="s">
        <v>28</v>
      </c>
      <c r="E9" s="5"/>
      <c r="F9" s="12" t="s">
        <v>21</v>
      </c>
      <c r="G9" s="13" t="s">
        <v>0</v>
      </c>
      <c r="H9" s="14" t="s">
        <v>24</v>
      </c>
      <c r="I9" s="5"/>
      <c r="J9" s="5"/>
      <c r="K9" s="5"/>
      <c r="L9" s="5"/>
    </row>
    <row r="10" spans="1:12" ht="22" customHeight="1" x14ac:dyDescent="0.25">
      <c r="A10" s="5"/>
      <c r="B10" s="15" t="str" cm="1">
        <f t="array" ref="B10:B14">_xlfn._xlws.SORT(_xlfn.UNIQUE(' COOKIES '!C2:C846),1,1)</f>
        <v>Acme Grocery Stores</v>
      </c>
      <c r="C10" s="16">
        <f>SUMIF(' COOKIES '!C:C,B10,' COOKIES '!E:E)</f>
        <v>157505</v>
      </c>
      <c r="D10" s="17">
        <f>C10/SUM(C10:C14)</f>
        <v>7.0534364819023518E-2</v>
      </c>
      <c r="E10" s="5"/>
      <c r="F10" s="15" t="str">
        <f>B10</f>
        <v>Acme Grocery Stores</v>
      </c>
      <c r="G10" s="16">
        <f>SUMIF(' COOKIES '!C:C,F10,' COOKIES '!G:G)</f>
        <v>78752.5</v>
      </c>
      <c r="H10" s="17">
        <f t="shared" ref="H10:H15" si="0">G10/C10</f>
        <v>0.5</v>
      </c>
      <c r="I10" s="5"/>
      <c r="J10" s="5"/>
      <c r="K10" s="5"/>
      <c r="L10" s="5"/>
    </row>
    <row r="11" spans="1:12" ht="22" customHeight="1" x14ac:dyDescent="0.25">
      <c r="A11" s="5"/>
      <c r="B11" s="18" t="str">
        <v>Cascade Grovers</v>
      </c>
      <c r="C11" s="19">
        <f>SUMIF(' COOKIES '!C:C,B11,' COOKIES '!E:E)</f>
        <v>649740</v>
      </c>
      <c r="D11" s="20">
        <f>C11/SUM(C10:C14)</f>
        <v>0.29096852923724542</v>
      </c>
      <c r="E11" s="5"/>
      <c r="F11" s="18" t="str">
        <f>B11</f>
        <v>Cascade Grovers</v>
      </c>
      <c r="G11" s="19">
        <f>SUMIF(' COOKIES '!C:C,F11,' COOKIES '!G:G)</f>
        <v>324870</v>
      </c>
      <c r="H11" s="20">
        <f t="shared" si="0"/>
        <v>0.5</v>
      </c>
      <c r="I11" s="5"/>
      <c r="J11" s="5"/>
      <c r="K11" s="5"/>
      <c r="L11" s="5"/>
    </row>
    <row r="12" spans="1:12" ht="22" customHeight="1" x14ac:dyDescent="0.25">
      <c r="A12" s="5"/>
      <c r="B12" s="15" t="str">
        <v>Park &amp; Eat LLC</v>
      </c>
      <c r="C12" s="16">
        <f>SUMIF(' COOKIES '!C:C,B12,' COOKIES '!E:E)</f>
        <v>395290</v>
      </c>
      <c r="D12" s="17">
        <f>C12/SUM(C10:C14)</f>
        <v>0.17701996171113177</v>
      </c>
      <c r="E12" s="5"/>
      <c r="F12" s="15" t="str">
        <f>B12</f>
        <v>Park &amp; Eat LLC</v>
      </c>
      <c r="G12" s="16">
        <f>SUMIF(' COOKIES '!C:C,F12,' COOKIES '!G:G)</f>
        <v>197645</v>
      </c>
      <c r="H12" s="17">
        <f t="shared" si="0"/>
        <v>0.5</v>
      </c>
      <c r="I12" s="5"/>
      <c r="J12" s="5"/>
      <c r="K12" s="5"/>
      <c r="L12" s="5"/>
    </row>
    <row r="13" spans="1:12" ht="22" customHeight="1" x14ac:dyDescent="0.25">
      <c r="A13" s="5"/>
      <c r="B13" s="18" t="str">
        <v>Quick Bite Convenience Stores</v>
      </c>
      <c r="C13" s="19">
        <f>SUMIF(' COOKIES '!C:C,B13,' COOKIES '!E:E)</f>
        <v>557170</v>
      </c>
      <c r="D13" s="20">
        <f>C13/SUM(C10:C14)</f>
        <v>0.24951355224415311</v>
      </c>
      <c r="E13" s="5"/>
      <c r="F13" s="18" t="str">
        <f>B13</f>
        <v>Quick Bite Convenience Stores</v>
      </c>
      <c r="G13" s="19">
        <f>SUMIF(' COOKIES '!C:C,F13,' COOKIES '!G:G)</f>
        <v>278585</v>
      </c>
      <c r="H13" s="20">
        <f t="shared" si="0"/>
        <v>0.5</v>
      </c>
      <c r="I13" s="5"/>
      <c r="J13" s="5"/>
      <c r="K13" s="5"/>
      <c r="L13" s="5"/>
    </row>
    <row r="14" spans="1:12" ht="22" customHeight="1" x14ac:dyDescent="0.25">
      <c r="A14" s="5"/>
      <c r="B14" s="15" t="str">
        <v>YT Restaurants</v>
      </c>
      <c r="C14" s="16">
        <f>SUMIF(' COOKIES '!C:C,B14,' COOKIES '!E:E)</f>
        <v>473320</v>
      </c>
      <c r="D14" s="17">
        <f>C14/SUM(C10:C14)</f>
        <v>0.21196359198844617</v>
      </c>
      <c r="E14" s="5"/>
      <c r="F14" s="15" t="str">
        <f>B14</f>
        <v>YT Restaurants</v>
      </c>
      <c r="G14" s="16">
        <f>SUMIF(' COOKIES '!C:C,F14,' COOKIES '!G:G)</f>
        <v>236660</v>
      </c>
      <c r="H14" s="17">
        <f t="shared" si="0"/>
        <v>0.5</v>
      </c>
      <c r="I14" s="5"/>
      <c r="J14" s="5"/>
      <c r="K14" s="5"/>
      <c r="L14" s="5"/>
    </row>
    <row r="15" spans="1:12" ht="22" customHeight="1" x14ac:dyDescent="0.25">
      <c r="A15" s="5"/>
      <c r="B15" s="21" t="s">
        <v>22</v>
      </c>
      <c r="C15" s="22">
        <f>SUM(C10:C14)</f>
        <v>2233025</v>
      </c>
      <c r="D15" s="23">
        <f>SUM(D10:D14)</f>
        <v>1</v>
      </c>
      <c r="E15" s="5"/>
      <c r="F15" s="21" t="s">
        <v>22</v>
      </c>
      <c r="G15" s="22">
        <f>SUM(G10:G14)</f>
        <v>1116512.5</v>
      </c>
      <c r="H15" s="23">
        <f t="shared" si="0"/>
        <v>0.5</v>
      </c>
      <c r="I15" s="5"/>
      <c r="J15" s="5"/>
      <c r="K15" s="5"/>
      <c r="L15" s="5"/>
    </row>
    <row r="16" spans="1:12" ht="1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25" customHeight="1" x14ac:dyDescent="0.3">
      <c r="A17" s="5"/>
      <c r="B17" s="3" t="s">
        <v>27</v>
      </c>
      <c r="I17" s="5"/>
      <c r="J17" s="5"/>
      <c r="K17" s="5"/>
      <c r="L17" s="5"/>
    </row>
    <row r="18" spans="1:12" ht="25" customHeight="1" x14ac:dyDescent="0.25">
      <c r="A18" s="5"/>
      <c r="B18" s="2"/>
      <c r="C18" s="2"/>
      <c r="D18" s="2"/>
      <c r="E18" s="2"/>
      <c r="F18" s="2"/>
      <c r="G18" s="2"/>
      <c r="H18" s="2"/>
      <c r="I18" s="2"/>
      <c r="J18" s="2"/>
      <c r="K18" s="2"/>
      <c r="L18" s="5"/>
    </row>
    <row r="19" spans="1:12" ht="25" customHeight="1" x14ac:dyDescent="0.25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5"/>
    </row>
    <row r="20" spans="1:12" ht="25" customHeight="1" x14ac:dyDescent="0.25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5"/>
    </row>
    <row r="21" spans="1:12" ht="25" customHeight="1" x14ac:dyDescent="0.25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5"/>
    </row>
    <row r="22" spans="1:12" ht="25" customHeight="1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5"/>
    </row>
    <row r="23" spans="1:12" ht="25" customHeight="1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5"/>
    </row>
    <row r="24" spans="1:12" ht="10" customHeight="1" x14ac:dyDescent="0.25">
      <c r="I24" s="5"/>
      <c r="J24" s="5"/>
      <c r="K24" s="5"/>
      <c r="L24" s="5"/>
    </row>
    <row r="25" spans="1:12" ht="22" customHeight="1" x14ac:dyDescent="0.3">
      <c r="B25" s="3" t="s">
        <v>25</v>
      </c>
      <c r="I25" s="5"/>
      <c r="J25" s="5"/>
      <c r="K25" s="5"/>
      <c r="L25" s="5"/>
    </row>
    <row r="26" spans="1:12" ht="22" customHeight="1" x14ac:dyDescent="0.25">
      <c r="B26" s="28" t="s">
        <v>29</v>
      </c>
      <c r="C26" s="26" t="s">
        <v>15</v>
      </c>
      <c r="D26" s="32">
        <v>649740</v>
      </c>
      <c r="E26" s="26"/>
      <c r="F26" s="26" t="s">
        <v>30</v>
      </c>
      <c r="G26" s="34">
        <v>3.6165680473372799</v>
      </c>
      <c r="H26" s="30"/>
      <c r="I26" s="6"/>
      <c r="J26" s="6"/>
      <c r="K26" s="6"/>
      <c r="L26" s="5"/>
    </row>
    <row r="27" spans="1:12" ht="22" customHeight="1" x14ac:dyDescent="0.25">
      <c r="B27" s="29" t="s">
        <v>26</v>
      </c>
      <c r="C27" s="27" t="s">
        <v>15</v>
      </c>
      <c r="D27" s="33">
        <v>324870</v>
      </c>
      <c r="E27" s="27"/>
      <c r="F27" s="27" t="s">
        <v>31</v>
      </c>
      <c r="G27" s="33">
        <v>2642.6331360946701</v>
      </c>
      <c r="H27" s="31"/>
      <c r="I27" s="6"/>
      <c r="J27" s="6"/>
      <c r="K27" s="6"/>
      <c r="L27" s="5"/>
    </row>
    <row r="28" spans="1:12" ht="10" customHeight="1" x14ac:dyDescent="0.25">
      <c r="I28" s="5"/>
      <c r="J28" s="5"/>
      <c r="K28" s="5"/>
      <c r="L28" s="5"/>
    </row>
    <row r="29" spans="1:12" ht="18" customHeight="1" x14ac:dyDescent="0.25">
      <c r="B29" s="25" t="s">
        <v>32</v>
      </c>
      <c r="I29" s="5"/>
      <c r="J29" s="5"/>
      <c r="K29" s="5"/>
      <c r="L29" s="5"/>
    </row>
    <row r="30" spans="1:12" ht="18" customHeight="1" x14ac:dyDescent="0.25"/>
    <row r="31" spans="1:12" ht="18" customHeight="1" x14ac:dyDescent="0.25"/>
    <row r="32" spans="1:12" ht="18" customHeight="1" x14ac:dyDescent="0.25"/>
    <row r="33" ht="18" customHeight="1" x14ac:dyDescent="0.25"/>
    <row r="34" ht="18" customHeight="1" x14ac:dyDescent="0.25"/>
    <row r="35" ht="18" customHeight="1" x14ac:dyDescent="0.25"/>
    <row r="36" ht="12" customHeight="1" x14ac:dyDescent="0.25"/>
    <row r="37" ht="28" customHeight="1" x14ac:dyDescent="0.25"/>
    <row r="38" ht="8" customHeight="1" x14ac:dyDescent="0.25"/>
    <row r="39" ht="26" customHeight="1" x14ac:dyDescent="0.25"/>
    <row r="40" ht="26" customHeight="1" x14ac:dyDescent="0.25"/>
    <row r="41" ht="26" customHeight="1" x14ac:dyDescent="0.25"/>
    <row r="42" ht="26" customHeight="1" x14ac:dyDescent="0.25"/>
    <row r="43" ht="10" customHeight="1" x14ac:dyDescent="0.25"/>
    <row r="44" ht="20" customHeight="1" x14ac:dyDescent="0.25"/>
  </sheetData>
  <mergeCells count="1">
    <mergeCell ref="B2:H2"/>
  </mergeCells>
  <pageMargins left="0.7" right="0.7" top="0.75" bottom="0.75" header="0.3" footer="0.3"/>
  <pageSetup scale="44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scriptIds xmlns="http://schemas.microsoft.com/office/extensibility/maker/v1.0" id="script-ids-node-id"/>
</file>

<file path=customXml/itemProps1.xml><?xml version="1.0" encoding="utf-8"?>
<ds:datastoreItem xmlns:ds="http://schemas.openxmlformats.org/officeDocument/2006/customXml" ds:itemID="{DA4F9389-48D5-4882-BDF8-8F4CA2F031B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5A0888F-02FE-41AF-B315-65515602B97C}">
  <ds:schemaRefs>
    <ds:schemaRef ds:uri="http://schemas.microsoft.com/office/extensibility/maker/v1.0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COOKIES </vt:lpstr>
      <vt:lpstr>Executive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Nachiyappan, Vidhya</dc:creator>
  <cp:lastModifiedBy>Nachiyappan, Vidhya</cp:lastModifiedBy>
  <dcterms:created xsi:type="dcterms:W3CDTF">2026-06-25T09:36:42Z</dcterms:created>
  <dcterms:modified xsi:type="dcterms:W3CDTF">2026-06-29T12:01:07Z</dcterms:modified>
</cp:coreProperties>
</file>